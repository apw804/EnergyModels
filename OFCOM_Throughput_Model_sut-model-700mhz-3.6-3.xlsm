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embeddings/oleObject1.bin" ContentType="application/vnd.openxmlformats-officedocument.oleObject"/>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1" codeName="{A63ED3A1-9429-3D75-F2AA-CA7E51A8F3A1}"/>
  <workbookPr filterPrivacy="1" codeName="ThisWorkbook"/>
  <xr:revisionPtr revIDLastSave="0" documentId="13_ncr:1_{9583527A-80E4-F74C-BFE1-46FA4F0FF363}" xr6:coauthVersionLast="47" xr6:coauthVersionMax="47" xr10:uidLastSave="{00000000-0000-0000-0000-000000000000}"/>
  <bookViews>
    <workbookView xWindow="0" yWindow="500" windowWidth="60160" windowHeight="33340" activeTab="2" xr2:uid="{00000000-000D-0000-FFFF-FFFF00000000}"/>
  </bookViews>
  <sheets>
    <sheet name="Contents" sheetId="50" r:id="rId1"/>
    <sheet name="Inputs" sheetId="57" r:id="rId2"/>
    <sheet name="DL linkLevel" sheetId="58" r:id="rId3"/>
    <sheet name="UL linkLevel" sheetId="59" r:id="rId4"/>
    <sheet name="Sources" sheetId="60" r:id="rId5"/>
  </sheets>
  <externalReferences>
    <externalReference r:id="rId6"/>
  </externalReferences>
  <definedNames>
    <definedName name="BS_type">Inputs!$C$20</definedName>
    <definedName name="CA_Loss">Inputs!$C$21</definedName>
    <definedName name="DL_alpha">Inputs!$G$34</definedName>
    <definedName name="DL_EIRP">Inputs!$G$29</definedName>
    <definedName name="DL_f">Inputs!$G$23</definedName>
    <definedName name="DL_NF">Inputs!$G$30</definedName>
    <definedName name="DL_noise">Inputs!$H$32</definedName>
    <definedName name="DL_NormBW">Inputs!$G$26</definedName>
    <definedName name="DL_NormLayers">Inputs!$G$27</definedName>
    <definedName name="DL_NormNoise">Inputs!$G$32</definedName>
    <definedName name="DL_NormPow">Inputs!$G$26</definedName>
    <definedName name="DL_OH">Inputs!$G$24</definedName>
    <definedName name="DL_Plot">'DL linkLevel'!$C$7</definedName>
    <definedName name="DL_Qm">Inputs!$G$21</definedName>
    <definedName name="DL_ratio">'DL linkLevel'!$C$5</definedName>
    <definedName name="DL_Rmax">Inputs!$G$22</definedName>
    <definedName name="DL_Rxgain">Inputs!$G$31</definedName>
    <definedName name="DL_scale">'DL linkLevel'!$C$6</definedName>
    <definedName name="DL_scenario_offset">'DL linkLevel'!$C$18</definedName>
    <definedName name="downlink_percent">#REF!</definedName>
    <definedName name="f">#REF!</definedName>
    <definedName name="mu">#REF!</definedName>
    <definedName name="OH">#REF!</definedName>
    <definedName name="QA_box">Contents!#REF!</definedName>
    <definedName name="Qm">#REF!</definedName>
    <definedName name="Rmax">#REF!</definedName>
    <definedName name="scenario_offset">'DL linkLevel'!$C$18</definedName>
    <definedName name="Style">Contents!#REF!</definedName>
    <definedName name="Subcarriers">Inputs!$C$22</definedName>
    <definedName name="Symbols">Inputs!$C$23</definedName>
    <definedName name="thermal_noise">Inputs!$C$24</definedName>
    <definedName name="UL_alpha">Inputs!$I$34</definedName>
    <definedName name="UL_EIRP">Inputs!$I$29</definedName>
    <definedName name="UL_f">Inputs!$I$23</definedName>
    <definedName name="UL_NF">Inputs!$I$30</definedName>
    <definedName name="UL_noise">Inputs!$I$32</definedName>
    <definedName name="UL_NormBW">Inputs!$I$26</definedName>
    <definedName name="UL_NormLayers">Inputs!$I$27</definedName>
    <definedName name="UL_NormNoise">Inputs!$I$32</definedName>
    <definedName name="UL_NormPow">Inputs!$I$26</definedName>
    <definedName name="UL_OH">Inputs!$I$24</definedName>
    <definedName name="UL_Plot">'UL linkLevel'!$C$7</definedName>
    <definedName name="UL_Qm">Inputs!$I$21</definedName>
    <definedName name="UL_ratio">'UL linkLevel'!$C$5</definedName>
    <definedName name="UL_Rmax">Inputs!$I$22</definedName>
    <definedName name="UL_Rxgain">Inputs!$I$31</definedName>
    <definedName name="UL_scale">'UL linkLevel'!$C$6</definedName>
    <definedName name="UL_scenario_offset">'UL linkLevel'!$C$18</definedName>
    <definedName name="uplink_percent">#REF!</definedName>
    <definedName name="Version_box">Contents!#REF!</definedName>
    <definedName name="Workbook.Author">Contents!#REF!</definedName>
    <definedName name="Workbook.Location">Contents!#REF!</definedName>
    <definedName name="Workbook.Objective">Contents!$B$7</definedName>
    <definedName name="Workbook.Status">Contents!$B$8</definedName>
    <definedName name="Workbook.Title" localSheetId="2">[1]Contents!$B$6</definedName>
    <definedName name="Workbook.Title" localSheetId="1">[1]Contents!$B$6</definedName>
    <definedName name="Workbook.Title" localSheetId="4">[1]Contents!$B$6</definedName>
    <definedName name="Workbook.Title" localSheetId="3">[1]Contents!$B$6</definedName>
    <definedName name="Workbook.Title">Contents!$B$6</definedName>
    <definedName name="Workbook.Version">Contents!#REF!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2" i="58" l="1"/>
  <c r="G12" i="58" s="1"/>
  <c r="F13" i="58"/>
  <c r="G13" i="58" s="1"/>
  <c r="F14" i="58"/>
  <c r="G14" i="58" s="1"/>
  <c r="F15" i="58"/>
  <c r="G15" i="58" s="1"/>
  <c r="C8" i="59" l="1"/>
  <c r="J86" i="57"/>
  <c r="C8" i="58"/>
  <c r="F17" i="59" l="1"/>
  <c r="G17" i="59" s="1"/>
  <c r="F15" i="59"/>
  <c r="G15" i="59" s="1"/>
  <c r="F14" i="59"/>
  <c r="G14" i="59" s="1"/>
  <c r="F13" i="59"/>
  <c r="G13" i="59" s="1"/>
  <c r="F12" i="59"/>
  <c r="G12" i="59" s="1"/>
  <c r="F11" i="59"/>
  <c r="G11" i="59" s="1"/>
  <c r="F7" i="59"/>
  <c r="G7" i="59" s="1"/>
  <c r="F6" i="59"/>
  <c r="G6" i="59" s="1"/>
  <c r="F5" i="59"/>
  <c r="G5" i="59" s="1"/>
  <c r="F4" i="59"/>
  <c r="C4" i="58"/>
  <c r="F11" i="58"/>
  <c r="G11" i="58" s="1"/>
  <c r="F17" i="58"/>
  <c r="G17" i="58" s="1"/>
  <c r="F7" i="58"/>
  <c r="G7" i="58" s="1"/>
  <c r="F6" i="58"/>
  <c r="G6" i="58" s="1"/>
  <c r="F5" i="58"/>
  <c r="G5" i="58" s="1"/>
  <c r="F4" i="58"/>
  <c r="I31" i="57"/>
  <c r="G28" i="57"/>
  <c r="G29" i="57" s="1"/>
  <c r="C4" i="59"/>
  <c r="B11" i="59"/>
  <c r="V26" i="59" s="1"/>
  <c r="C11" i="59"/>
  <c r="V39" i="59" s="1"/>
  <c r="B12" i="59"/>
  <c r="W26" i="59" s="1"/>
  <c r="C12" i="59"/>
  <c r="W29" i="59" s="1"/>
  <c r="B13" i="59"/>
  <c r="X26" i="59" s="1"/>
  <c r="C13" i="59"/>
  <c r="X30" i="59" s="1"/>
  <c r="B14" i="59"/>
  <c r="C14" i="59"/>
  <c r="B15" i="59"/>
  <c r="C15" i="59"/>
  <c r="O20" i="59"/>
  <c r="O21" i="59"/>
  <c r="J45" i="59" s="1"/>
  <c r="O22" i="59"/>
  <c r="O23" i="59"/>
  <c r="O24" i="59"/>
  <c r="G25" i="59"/>
  <c r="J25" i="59"/>
  <c r="M25" i="59"/>
  <c r="P25" i="59"/>
  <c r="S25" i="59"/>
  <c r="Y26" i="59"/>
  <c r="Z26" i="59"/>
  <c r="F27" i="59"/>
  <c r="Y27" i="59"/>
  <c r="Z27" i="59"/>
  <c r="F28" i="59"/>
  <c r="Y28" i="59"/>
  <c r="Z28" i="59"/>
  <c r="F29" i="59"/>
  <c r="Y29" i="59"/>
  <c r="Z29" i="59"/>
  <c r="F30" i="59"/>
  <c r="Y30" i="59"/>
  <c r="Z30" i="59"/>
  <c r="F31" i="59"/>
  <c r="Y31" i="59"/>
  <c r="Z31" i="59"/>
  <c r="F32" i="59"/>
  <c r="Y32" i="59"/>
  <c r="Z32" i="59"/>
  <c r="F33" i="59"/>
  <c r="Y33" i="59"/>
  <c r="Z33" i="59"/>
  <c r="F34" i="59"/>
  <c r="Y34" i="59"/>
  <c r="Z34" i="59"/>
  <c r="F35" i="59"/>
  <c r="Y35" i="59"/>
  <c r="Z35" i="59"/>
  <c r="F36" i="59"/>
  <c r="Y36" i="59"/>
  <c r="Z36" i="59"/>
  <c r="F37" i="59"/>
  <c r="Y37" i="59"/>
  <c r="Z37" i="59"/>
  <c r="F38" i="59"/>
  <c r="Y38" i="59"/>
  <c r="Z38" i="59"/>
  <c r="F39" i="59"/>
  <c r="Y39" i="59"/>
  <c r="Z39" i="59"/>
  <c r="F40" i="59"/>
  <c r="Y40" i="59"/>
  <c r="Z40" i="59"/>
  <c r="F41" i="59"/>
  <c r="Y41" i="59"/>
  <c r="Z41" i="59"/>
  <c r="F42" i="59"/>
  <c r="Y42" i="59"/>
  <c r="Z42" i="59"/>
  <c r="F43" i="59"/>
  <c r="Y43" i="59"/>
  <c r="Z43" i="59"/>
  <c r="F44" i="59"/>
  <c r="Y44" i="59"/>
  <c r="Z44" i="59"/>
  <c r="F45" i="59"/>
  <c r="Y45" i="59"/>
  <c r="Z45" i="59"/>
  <c r="F46" i="59"/>
  <c r="Y46" i="59"/>
  <c r="Z46" i="59"/>
  <c r="F47" i="59"/>
  <c r="Y47" i="59"/>
  <c r="Z47" i="59"/>
  <c r="F48" i="59"/>
  <c r="Y48" i="59"/>
  <c r="Z48" i="59"/>
  <c r="F49" i="59"/>
  <c r="Y49" i="59"/>
  <c r="Z49" i="59"/>
  <c r="F50" i="59"/>
  <c r="Y50" i="59"/>
  <c r="Z50" i="59"/>
  <c r="F51" i="59"/>
  <c r="Y51" i="59"/>
  <c r="Z51" i="59"/>
  <c r="F52" i="59"/>
  <c r="Y52" i="59"/>
  <c r="Z52" i="59"/>
  <c r="F53" i="59"/>
  <c r="Y53" i="59"/>
  <c r="Z53" i="59"/>
  <c r="F54" i="59"/>
  <c r="Y54" i="59"/>
  <c r="Z54" i="59"/>
  <c r="F55" i="59"/>
  <c r="Y55" i="59"/>
  <c r="Z55" i="59"/>
  <c r="F56" i="59"/>
  <c r="Y56" i="59"/>
  <c r="Z56" i="59"/>
  <c r="F57" i="59"/>
  <c r="Y57" i="59"/>
  <c r="Z57" i="59"/>
  <c r="F58" i="59"/>
  <c r="Y58" i="59"/>
  <c r="Z58" i="59"/>
  <c r="F59" i="59"/>
  <c r="Y59" i="59"/>
  <c r="Z59" i="59"/>
  <c r="F60" i="59"/>
  <c r="Y60" i="59"/>
  <c r="Z60" i="59"/>
  <c r="F61" i="59"/>
  <c r="Y61" i="59"/>
  <c r="Z61" i="59"/>
  <c r="F62" i="59"/>
  <c r="Y62" i="59"/>
  <c r="Z62" i="59"/>
  <c r="F63" i="59"/>
  <c r="Y63" i="59"/>
  <c r="Z63" i="59"/>
  <c r="F64" i="59"/>
  <c r="Y64" i="59"/>
  <c r="Z64" i="59"/>
  <c r="F65" i="59"/>
  <c r="Y65" i="59"/>
  <c r="Z65" i="59"/>
  <c r="F66" i="59"/>
  <c r="Y66" i="59"/>
  <c r="Z66" i="59"/>
  <c r="F67" i="59"/>
  <c r="Y67" i="59"/>
  <c r="Z67" i="59"/>
  <c r="B11" i="58"/>
  <c r="V26" i="58" s="1"/>
  <c r="C11" i="58"/>
  <c r="V64" i="58" s="1"/>
  <c r="B12" i="58"/>
  <c r="W26" i="58" s="1"/>
  <c r="C12" i="58"/>
  <c r="W28" i="58" s="1"/>
  <c r="B13" i="58"/>
  <c r="X26" i="58" s="1"/>
  <c r="C13" i="58"/>
  <c r="X73" i="58" s="1"/>
  <c r="B14" i="58"/>
  <c r="Y26" i="58" s="1"/>
  <c r="C14" i="58"/>
  <c r="Y30" i="58" s="1"/>
  <c r="B15" i="58"/>
  <c r="Z26" i="58" s="1"/>
  <c r="C15" i="58"/>
  <c r="Z77" i="58" s="1"/>
  <c r="G25" i="58"/>
  <c r="J25" i="58"/>
  <c r="M25" i="58"/>
  <c r="P25" i="58"/>
  <c r="S25" i="58"/>
  <c r="E27" i="58"/>
  <c r="F27" i="58"/>
  <c r="E28" i="58"/>
  <c r="F28" i="58"/>
  <c r="E29" i="58"/>
  <c r="F29" i="58"/>
  <c r="E30" i="58"/>
  <c r="F30" i="58"/>
  <c r="E31" i="58"/>
  <c r="F31" i="58"/>
  <c r="E32" i="58"/>
  <c r="F32" i="58"/>
  <c r="E33" i="58"/>
  <c r="F33" i="58"/>
  <c r="E34" i="58"/>
  <c r="F34" i="58"/>
  <c r="E35" i="58"/>
  <c r="F35" i="58"/>
  <c r="E36" i="58"/>
  <c r="F36" i="58"/>
  <c r="E37" i="58"/>
  <c r="F37" i="58"/>
  <c r="AZ37" i="58"/>
  <c r="E38" i="58"/>
  <c r="F38" i="58"/>
  <c r="E39" i="58"/>
  <c r="F39" i="58"/>
  <c r="E40" i="58"/>
  <c r="F40" i="58"/>
  <c r="E41" i="58"/>
  <c r="F41" i="58"/>
  <c r="E42" i="58"/>
  <c r="F42" i="58"/>
  <c r="E43" i="58"/>
  <c r="F43" i="58"/>
  <c r="E44" i="58"/>
  <c r="F44" i="58"/>
  <c r="E45" i="58"/>
  <c r="F45" i="58"/>
  <c r="E46" i="58"/>
  <c r="F46" i="58"/>
  <c r="E47" i="58"/>
  <c r="F47" i="58"/>
  <c r="E48" i="58"/>
  <c r="F48" i="58"/>
  <c r="E49" i="58"/>
  <c r="F49" i="58"/>
  <c r="E50" i="58"/>
  <c r="F50" i="58"/>
  <c r="E51" i="58"/>
  <c r="F51" i="58"/>
  <c r="E52" i="58"/>
  <c r="F52" i="58"/>
  <c r="E53" i="58"/>
  <c r="F53" i="58"/>
  <c r="E54" i="58"/>
  <c r="F54" i="58"/>
  <c r="E55" i="58"/>
  <c r="F55" i="58"/>
  <c r="E56" i="58"/>
  <c r="F56" i="58"/>
  <c r="E57" i="58"/>
  <c r="F57" i="58"/>
  <c r="E58" i="58"/>
  <c r="F58" i="58"/>
  <c r="E59" i="58"/>
  <c r="F59" i="58"/>
  <c r="E60" i="58"/>
  <c r="F60" i="58"/>
  <c r="E61" i="58"/>
  <c r="F61" i="58"/>
  <c r="E62" i="58"/>
  <c r="F62" i="58"/>
  <c r="E63" i="58"/>
  <c r="F63" i="58"/>
  <c r="E64" i="58"/>
  <c r="F64" i="58"/>
  <c r="E65" i="58"/>
  <c r="F65" i="58"/>
  <c r="E66" i="58"/>
  <c r="F66" i="58"/>
  <c r="E67" i="58"/>
  <c r="F67" i="58"/>
  <c r="E68" i="58"/>
  <c r="F68" i="58"/>
  <c r="E69" i="58"/>
  <c r="F69" i="58"/>
  <c r="E70" i="58"/>
  <c r="F70" i="58"/>
  <c r="E71" i="58"/>
  <c r="F71" i="58"/>
  <c r="E72" i="58"/>
  <c r="F72" i="58"/>
  <c r="E73" i="58"/>
  <c r="F73" i="58"/>
  <c r="E74" i="58"/>
  <c r="F74" i="58"/>
  <c r="E75" i="58"/>
  <c r="F75" i="58"/>
  <c r="E76" i="58"/>
  <c r="F76" i="58"/>
  <c r="E77" i="58"/>
  <c r="F77" i="58"/>
  <c r="B7" i="57"/>
  <c r="C18" i="58" s="1"/>
  <c r="B8" i="57"/>
  <c r="B9" i="57"/>
  <c r="C18" i="59" s="1"/>
  <c r="C20" i="59" s="1"/>
  <c r="B10" i="57"/>
  <c r="G22" i="57"/>
  <c r="I22" i="57"/>
  <c r="O13" i="57"/>
  <c r="I29" i="57"/>
  <c r="I30" i="57"/>
  <c r="I32" i="57" s="1"/>
  <c r="G32" i="57"/>
  <c r="H86" i="57"/>
  <c r="I86" i="57"/>
  <c r="K86" i="57"/>
  <c r="L86" i="57"/>
  <c r="H98" i="57"/>
  <c r="I98" i="57"/>
  <c r="J98" i="57"/>
  <c r="K98" i="57"/>
  <c r="L98" i="57"/>
  <c r="G4" i="59" l="1"/>
  <c r="G4" i="58"/>
  <c r="S44" i="59"/>
  <c r="G62" i="59"/>
  <c r="P30" i="59"/>
  <c r="M53" i="59"/>
  <c r="D20" i="58"/>
  <c r="I20" i="58" s="1"/>
  <c r="E20" i="58"/>
  <c r="W43" i="59"/>
  <c r="P41" i="59"/>
  <c r="G31" i="59"/>
  <c r="W59" i="59"/>
  <c r="W58" i="59"/>
  <c r="W37" i="59"/>
  <c r="W47" i="59"/>
  <c r="W40" i="59"/>
  <c r="S48" i="59"/>
  <c r="W34" i="59"/>
  <c r="S29" i="59"/>
  <c r="W28" i="59"/>
  <c r="W27" i="59"/>
  <c r="W27" i="58"/>
  <c r="Y40" i="58"/>
  <c r="P54" i="59"/>
  <c r="P66" i="59"/>
  <c r="J64" i="59"/>
  <c r="J57" i="59"/>
  <c r="Y72" i="58"/>
  <c r="Y56" i="58"/>
  <c r="Y68" i="58"/>
  <c r="Y52" i="58"/>
  <c r="Y64" i="58"/>
  <c r="Y48" i="58"/>
  <c r="Y76" i="58"/>
  <c r="Y60" i="58"/>
  <c r="Y44" i="58"/>
  <c r="Y77" i="58"/>
  <c r="Y73" i="58"/>
  <c r="Y69" i="58"/>
  <c r="Y65" i="58"/>
  <c r="Y61" i="58"/>
  <c r="Y57" i="58"/>
  <c r="Y53" i="58"/>
  <c r="Y49" i="58"/>
  <c r="Y45" i="58"/>
  <c r="Y41" i="58"/>
  <c r="Y74" i="58"/>
  <c r="Y70" i="58"/>
  <c r="Y66" i="58"/>
  <c r="Y62" i="58"/>
  <c r="Y58" i="58"/>
  <c r="Y54" i="58"/>
  <c r="Y50" i="58"/>
  <c r="Y46" i="58"/>
  <c r="Y42" i="58"/>
  <c r="Y38" i="58"/>
  <c r="W35" i="58"/>
  <c r="Y75" i="58"/>
  <c r="Y71" i="58"/>
  <c r="Y67" i="58"/>
  <c r="Y63" i="58"/>
  <c r="Y59" i="58"/>
  <c r="Y55" i="58"/>
  <c r="Y51" i="58"/>
  <c r="Y47" i="58"/>
  <c r="Y43" i="58"/>
  <c r="Y39" i="58"/>
  <c r="W31" i="58"/>
  <c r="J55" i="59"/>
  <c r="J49" i="59"/>
  <c r="W77" i="58"/>
  <c r="W75" i="58"/>
  <c r="W73" i="58"/>
  <c r="W71" i="58"/>
  <c r="W69" i="58"/>
  <c r="W67" i="58"/>
  <c r="W66" i="58"/>
  <c r="W64" i="58"/>
  <c r="W62" i="58"/>
  <c r="W60" i="58"/>
  <c r="W58" i="58"/>
  <c r="W56" i="58"/>
  <c r="W54" i="58"/>
  <c r="W52" i="58"/>
  <c r="W51" i="58"/>
  <c r="W49" i="58"/>
  <c r="W48" i="58"/>
  <c r="W46" i="58"/>
  <c r="W45" i="58"/>
  <c r="W44" i="58"/>
  <c r="W43" i="58"/>
  <c r="W42" i="58"/>
  <c r="W41" i="58"/>
  <c r="W40" i="58"/>
  <c r="W39" i="58"/>
  <c r="W38" i="58"/>
  <c r="Y37" i="58"/>
  <c r="Y33" i="58"/>
  <c r="Y29" i="58"/>
  <c r="X53" i="59"/>
  <c r="X52" i="59"/>
  <c r="W76" i="58"/>
  <c r="W74" i="58"/>
  <c r="W72" i="58"/>
  <c r="W70" i="58"/>
  <c r="W68" i="58"/>
  <c r="W65" i="58"/>
  <c r="W63" i="58"/>
  <c r="W61" i="58"/>
  <c r="W59" i="58"/>
  <c r="W57" i="58"/>
  <c r="W55" i="58"/>
  <c r="W53" i="58"/>
  <c r="W50" i="58"/>
  <c r="W47" i="58"/>
  <c r="W37" i="58"/>
  <c r="W33" i="58"/>
  <c r="W29" i="58"/>
  <c r="Y35" i="58"/>
  <c r="Y31" i="58"/>
  <c r="Y27" i="58"/>
  <c r="Z64" i="58"/>
  <c r="P38" i="59"/>
  <c r="V67" i="59"/>
  <c r="X66" i="59"/>
  <c r="V64" i="59"/>
  <c r="V62" i="59"/>
  <c r="X61" i="59"/>
  <c r="V58" i="59"/>
  <c r="X57" i="59"/>
  <c r="M56" i="59"/>
  <c r="X55" i="59"/>
  <c r="U26" i="58"/>
  <c r="C24" i="58"/>
  <c r="F22" i="58"/>
  <c r="C21" i="58"/>
  <c r="V66" i="59"/>
  <c r="M64" i="59"/>
  <c r="V61" i="59"/>
  <c r="X60" i="59"/>
  <c r="V59" i="59"/>
  <c r="V57" i="59"/>
  <c r="V55" i="59"/>
  <c r="V52" i="59"/>
  <c r="V51" i="59"/>
  <c r="M50" i="59"/>
  <c r="X49" i="59"/>
  <c r="X34" i="59"/>
  <c r="E21" i="58"/>
  <c r="O26" i="58"/>
  <c r="P24" i="58"/>
  <c r="P23" i="58"/>
  <c r="C22" i="58"/>
  <c r="F20" i="58"/>
  <c r="G20" i="58" s="1"/>
  <c r="X65" i="59"/>
  <c r="X63" i="59"/>
  <c r="V60" i="59"/>
  <c r="M59" i="59"/>
  <c r="X58" i="59"/>
  <c r="X56" i="59"/>
  <c r="X54" i="59"/>
  <c r="M52" i="59"/>
  <c r="X45" i="59"/>
  <c r="M44" i="59"/>
  <c r="X41" i="59"/>
  <c r="I26" i="58"/>
  <c r="F24" i="58"/>
  <c r="C23" i="58"/>
  <c r="L26" i="58"/>
  <c r="E23" i="58"/>
  <c r="P21" i="58"/>
  <c r="J20" i="58"/>
  <c r="X67" i="59"/>
  <c r="V65" i="59"/>
  <c r="X64" i="59"/>
  <c r="V63" i="59"/>
  <c r="X62" i="59"/>
  <c r="M60" i="59"/>
  <c r="X59" i="59"/>
  <c r="V56" i="59"/>
  <c r="V54" i="59"/>
  <c r="V47" i="59"/>
  <c r="V43" i="59"/>
  <c r="W57" i="59"/>
  <c r="J47" i="59"/>
  <c r="D21" i="59"/>
  <c r="I21" i="59" s="1"/>
  <c r="X75" i="58"/>
  <c r="Z68" i="58"/>
  <c r="V62" i="58"/>
  <c r="J63" i="59"/>
  <c r="J59" i="59"/>
  <c r="R26" i="59"/>
  <c r="F22" i="59"/>
  <c r="G22" i="59" s="1"/>
  <c r="E20" i="59"/>
  <c r="X77" i="58"/>
  <c r="V70" i="58"/>
  <c r="W66" i="59"/>
  <c r="W60" i="59"/>
  <c r="W49" i="59"/>
  <c r="P40" i="59"/>
  <c r="Z75" i="58"/>
  <c r="V75" i="58"/>
  <c r="Z70" i="58"/>
  <c r="Z66" i="58"/>
  <c r="V46" i="58"/>
  <c r="R26" i="58"/>
  <c r="E24" i="58"/>
  <c r="D23" i="58"/>
  <c r="I23" i="58" s="1"/>
  <c r="E22" i="58"/>
  <c r="D21" i="58"/>
  <c r="I21" i="58" s="1"/>
  <c r="C20" i="58"/>
  <c r="P62" i="59"/>
  <c r="S58" i="59"/>
  <c r="W55" i="59"/>
  <c r="P53" i="59"/>
  <c r="P52" i="59"/>
  <c r="W51" i="59"/>
  <c r="P49" i="59"/>
  <c r="W45" i="59"/>
  <c r="W44" i="59"/>
  <c r="W41" i="59"/>
  <c r="P37" i="59"/>
  <c r="W36" i="59"/>
  <c r="S33" i="59"/>
  <c r="W32" i="59"/>
  <c r="W31" i="59"/>
  <c r="I26" i="59"/>
  <c r="E24" i="59"/>
  <c r="C23" i="59"/>
  <c r="P21" i="59"/>
  <c r="V66" i="58"/>
  <c r="V54" i="58"/>
  <c r="W65" i="59"/>
  <c r="P63" i="59"/>
  <c r="S62" i="59"/>
  <c r="W54" i="59"/>
  <c r="W53" i="59"/>
  <c r="S52" i="59"/>
  <c r="W46" i="59"/>
  <c r="W42" i="59"/>
  <c r="W39" i="59"/>
  <c r="S37" i="59"/>
  <c r="P34" i="59"/>
  <c r="W33" i="59"/>
  <c r="L26" i="59"/>
  <c r="F24" i="59"/>
  <c r="G24" i="59" s="1"/>
  <c r="D23" i="59"/>
  <c r="I23" i="59" s="1"/>
  <c r="E22" i="59"/>
  <c r="C21" i="59"/>
  <c r="V77" i="58"/>
  <c r="V68" i="58"/>
  <c r="W67" i="59"/>
  <c r="S66" i="59"/>
  <c r="W64" i="59"/>
  <c r="W63" i="59"/>
  <c r="W62" i="59"/>
  <c r="W61" i="59"/>
  <c r="P58" i="59"/>
  <c r="W56" i="59"/>
  <c r="S54" i="59"/>
  <c r="W52" i="59"/>
  <c r="W50" i="59"/>
  <c r="W48" i="59"/>
  <c r="P44" i="59"/>
  <c r="S41" i="59"/>
  <c r="S39" i="59"/>
  <c r="W38" i="59"/>
  <c r="S36" i="59"/>
  <c r="W35" i="59"/>
  <c r="W30" i="59"/>
  <c r="U26" i="59"/>
  <c r="P23" i="59"/>
  <c r="F20" i="59"/>
  <c r="G20" i="59" s="1"/>
  <c r="D28" i="58"/>
  <c r="D28" i="59"/>
  <c r="E28" i="59" s="1"/>
  <c r="J62" i="59"/>
  <c r="J61" i="59"/>
  <c r="J58" i="59"/>
  <c r="M48" i="59"/>
  <c r="M45" i="59"/>
  <c r="G29" i="59"/>
  <c r="M67" i="59"/>
  <c r="J66" i="59"/>
  <c r="M55" i="59"/>
  <c r="J48" i="59"/>
  <c r="G42" i="59"/>
  <c r="G34" i="59"/>
  <c r="D51" i="59"/>
  <c r="E51" i="59" s="1"/>
  <c r="D41" i="59"/>
  <c r="E41" i="59" s="1"/>
  <c r="G33" i="59"/>
  <c r="G41" i="59"/>
  <c r="G44" i="59"/>
  <c r="G52" i="59"/>
  <c r="G53" i="59"/>
  <c r="G48" i="59"/>
  <c r="D27" i="59"/>
  <c r="E27" i="59" s="1"/>
  <c r="D60" i="59"/>
  <c r="E60" i="59" s="1"/>
  <c r="D52" i="59"/>
  <c r="E52" i="59" s="1"/>
  <c r="G37" i="59"/>
  <c r="D34" i="59"/>
  <c r="E34" i="59" s="1"/>
  <c r="M29" i="59"/>
  <c r="M31" i="59"/>
  <c r="M34" i="59"/>
  <c r="M37" i="59"/>
  <c r="M38" i="59"/>
  <c r="M42" i="59"/>
  <c r="M49" i="59"/>
  <c r="M58" i="59"/>
  <c r="M62" i="59"/>
  <c r="M63" i="59"/>
  <c r="M66" i="59"/>
  <c r="M33" i="59"/>
  <c r="M35" i="59"/>
  <c r="M39" i="59"/>
  <c r="M41" i="59"/>
  <c r="M46" i="59"/>
  <c r="M51" i="59"/>
  <c r="J36" i="59"/>
  <c r="J39" i="59"/>
  <c r="J46" i="59"/>
  <c r="J54" i="59"/>
  <c r="J28" i="59"/>
  <c r="J40" i="59"/>
  <c r="J44" i="59"/>
  <c r="J50" i="59"/>
  <c r="J52" i="59"/>
  <c r="J53" i="59"/>
  <c r="J56" i="59"/>
  <c r="J60" i="59"/>
  <c r="G65" i="59"/>
  <c r="G58" i="59"/>
  <c r="G49" i="59"/>
  <c r="D48" i="59"/>
  <c r="E48" i="59" s="1"/>
  <c r="D44" i="59"/>
  <c r="E44" i="59" s="1"/>
  <c r="D40" i="59"/>
  <c r="E40" i="59" s="1"/>
  <c r="G38" i="59"/>
  <c r="D35" i="59"/>
  <c r="E35" i="59" s="1"/>
  <c r="M30" i="59"/>
  <c r="M27" i="59"/>
  <c r="D29" i="59"/>
  <c r="E29" i="59" s="1"/>
  <c r="D30" i="59"/>
  <c r="E30" i="59" s="1"/>
  <c r="D31" i="59"/>
  <c r="E31" i="59" s="1"/>
  <c r="D36" i="59"/>
  <c r="E36" i="59" s="1"/>
  <c r="D37" i="59"/>
  <c r="E37" i="59" s="1"/>
  <c r="D39" i="59"/>
  <c r="E39" i="59" s="1"/>
  <c r="D46" i="59"/>
  <c r="E46" i="59" s="1"/>
  <c r="D47" i="59"/>
  <c r="E47" i="59" s="1"/>
  <c r="D49" i="59"/>
  <c r="E49" i="59" s="1"/>
  <c r="D53" i="59"/>
  <c r="E53" i="59" s="1"/>
  <c r="D54" i="59"/>
  <c r="E54" i="59" s="1"/>
  <c r="D65" i="59"/>
  <c r="E65" i="59" s="1"/>
  <c r="G66" i="59"/>
  <c r="D64" i="59"/>
  <c r="E64" i="59" s="1"/>
  <c r="G63" i="59"/>
  <c r="D56" i="59"/>
  <c r="E56" i="59" s="1"/>
  <c r="G54" i="59"/>
  <c r="D50" i="59"/>
  <c r="E50" i="59" s="1"/>
  <c r="G46" i="59"/>
  <c r="J42" i="59"/>
  <c r="D38" i="59"/>
  <c r="E38" i="59" s="1"/>
  <c r="G36" i="59"/>
  <c r="D33" i="59"/>
  <c r="E33" i="59" s="1"/>
  <c r="J32" i="59"/>
  <c r="G30" i="59"/>
  <c r="G27" i="59"/>
  <c r="G59" i="59"/>
  <c r="G57" i="59"/>
  <c r="G55" i="59"/>
  <c r="G45" i="59"/>
  <c r="J43" i="59"/>
  <c r="D67" i="59"/>
  <c r="E67" i="59" s="1"/>
  <c r="D66" i="59"/>
  <c r="E66" i="59" s="1"/>
  <c r="D63" i="59"/>
  <c r="E63" i="59" s="1"/>
  <c r="D62" i="59"/>
  <c r="E62" i="59" s="1"/>
  <c r="D61" i="59"/>
  <c r="E61" i="59" s="1"/>
  <c r="G60" i="59"/>
  <c r="P59" i="59"/>
  <c r="D59" i="59"/>
  <c r="E59" i="59" s="1"/>
  <c r="D58" i="59"/>
  <c r="E58" i="59" s="1"/>
  <c r="D57" i="59"/>
  <c r="E57" i="59" s="1"/>
  <c r="G56" i="59"/>
  <c r="P55" i="59"/>
  <c r="D55" i="59"/>
  <c r="E55" i="59" s="1"/>
  <c r="S53" i="59"/>
  <c r="J51" i="59"/>
  <c r="G50" i="59"/>
  <c r="P48" i="59"/>
  <c r="P45" i="59"/>
  <c r="D45" i="59"/>
  <c r="E45" i="59" s="1"/>
  <c r="D43" i="59"/>
  <c r="E43" i="59" s="1"/>
  <c r="D42" i="59"/>
  <c r="E42" i="59" s="1"/>
  <c r="M40" i="59"/>
  <c r="J35" i="59"/>
  <c r="D32" i="59"/>
  <c r="E32" i="59" s="1"/>
  <c r="P67" i="59"/>
  <c r="J67" i="59"/>
  <c r="S65" i="59"/>
  <c r="J65" i="59"/>
  <c r="G64" i="59"/>
  <c r="S64" i="59"/>
  <c r="P64" i="59"/>
  <c r="G61" i="59"/>
  <c r="S61" i="59"/>
  <c r="P61" i="59"/>
  <c r="M61" i="59"/>
  <c r="G67" i="59"/>
  <c r="S67" i="59"/>
  <c r="P65" i="59"/>
  <c r="M65" i="59"/>
  <c r="S63" i="59"/>
  <c r="P60" i="59"/>
  <c r="S59" i="59"/>
  <c r="M57" i="59"/>
  <c r="P56" i="59"/>
  <c r="S55" i="59"/>
  <c r="X29" i="59"/>
  <c r="X33" i="59"/>
  <c r="X28" i="59"/>
  <c r="X32" i="59"/>
  <c r="X36" i="59"/>
  <c r="X27" i="59"/>
  <c r="X31" i="59"/>
  <c r="X35" i="59"/>
  <c r="X39" i="59"/>
  <c r="X38" i="59"/>
  <c r="X44" i="59"/>
  <c r="X48" i="59"/>
  <c r="X37" i="59"/>
  <c r="X43" i="59"/>
  <c r="X47" i="59"/>
  <c r="X51" i="59"/>
  <c r="X40" i="59"/>
  <c r="X42" i="59"/>
  <c r="X46" i="59"/>
  <c r="X50" i="59"/>
  <c r="V27" i="59"/>
  <c r="V31" i="59"/>
  <c r="V30" i="59"/>
  <c r="V34" i="59"/>
  <c r="V38" i="59"/>
  <c r="V29" i="59"/>
  <c r="V33" i="59"/>
  <c r="V37" i="59"/>
  <c r="V35" i="59"/>
  <c r="V40" i="59"/>
  <c r="V42" i="59"/>
  <c r="V46" i="59"/>
  <c r="V50" i="59"/>
  <c r="V28" i="59"/>
  <c r="V32" i="59"/>
  <c r="V36" i="59"/>
  <c r="V41" i="59"/>
  <c r="V45" i="59"/>
  <c r="V49" i="59"/>
  <c r="V53" i="59"/>
  <c r="V44" i="59"/>
  <c r="V48" i="59"/>
  <c r="S60" i="59"/>
  <c r="P57" i="59"/>
  <c r="S56" i="59"/>
  <c r="M54" i="59"/>
  <c r="S57" i="59"/>
  <c r="G51" i="59"/>
  <c r="S51" i="59"/>
  <c r="P51" i="59"/>
  <c r="G47" i="59"/>
  <c r="S47" i="59"/>
  <c r="P47" i="59"/>
  <c r="M47" i="59"/>
  <c r="G43" i="59"/>
  <c r="S43" i="59"/>
  <c r="P43" i="59"/>
  <c r="M43" i="59"/>
  <c r="P50" i="59"/>
  <c r="S49" i="59"/>
  <c r="P46" i="59"/>
  <c r="S45" i="59"/>
  <c r="P42" i="59"/>
  <c r="S40" i="59"/>
  <c r="J27" i="59"/>
  <c r="J31" i="59"/>
  <c r="J30" i="59"/>
  <c r="J34" i="59"/>
  <c r="J38" i="59"/>
  <c r="J29" i="59"/>
  <c r="J33" i="59"/>
  <c r="J37" i="59"/>
  <c r="J41" i="59"/>
  <c r="S50" i="59"/>
  <c r="S46" i="59"/>
  <c r="S42" i="59"/>
  <c r="G40" i="59"/>
  <c r="G39" i="59"/>
  <c r="P39" i="59"/>
  <c r="P36" i="59"/>
  <c r="M36" i="59"/>
  <c r="G32" i="59"/>
  <c r="S32" i="59"/>
  <c r="P32" i="59"/>
  <c r="M32" i="59"/>
  <c r="G28" i="59"/>
  <c r="S28" i="59"/>
  <c r="P28" i="59"/>
  <c r="M28" i="59"/>
  <c r="P29" i="59"/>
  <c r="P33" i="59"/>
  <c r="G35" i="59"/>
  <c r="S35" i="59"/>
  <c r="P35" i="59"/>
  <c r="S38" i="59"/>
  <c r="S34" i="59"/>
  <c r="P31" i="59"/>
  <c r="S30" i="59"/>
  <c r="P27" i="59"/>
  <c r="O26" i="59"/>
  <c r="P24" i="59"/>
  <c r="D24" i="59"/>
  <c r="F23" i="59"/>
  <c r="P22" i="59"/>
  <c r="D22" i="59"/>
  <c r="F21" i="59"/>
  <c r="P20" i="59"/>
  <c r="D20" i="59"/>
  <c r="S31" i="59"/>
  <c r="S27" i="59"/>
  <c r="C24" i="59"/>
  <c r="E23" i="59"/>
  <c r="C22" i="59"/>
  <c r="E21" i="59"/>
  <c r="D62" i="58"/>
  <c r="D47" i="58"/>
  <c r="D44" i="58"/>
  <c r="D37" i="58"/>
  <c r="D31" i="58"/>
  <c r="D76" i="58"/>
  <c r="D75" i="58"/>
  <c r="D72" i="58"/>
  <c r="D70" i="58"/>
  <c r="D68" i="58"/>
  <c r="D66" i="58"/>
  <c r="D64" i="58"/>
  <c r="D61" i="58"/>
  <c r="D57" i="58"/>
  <c r="D54" i="58"/>
  <c r="D50" i="58"/>
  <c r="D43" i="58"/>
  <c r="D39" i="58"/>
  <c r="D77" i="58"/>
  <c r="D58" i="58"/>
  <c r="D35" i="58"/>
  <c r="D29" i="58"/>
  <c r="D27" i="58"/>
  <c r="D74" i="58"/>
  <c r="D71" i="58"/>
  <c r="D69" i="58"/>
  <c r="D67" i="58"/>
  <c r="D65" i="58"/>
  <c r="D63" i="58"/>
  <c r="D60" i="58"/>
  <c r="D56" i="58"/>
  <c r="D53" i="58"/>
  <c r="D49" i="58"/>
  <c r="D46" i="58"/>
  <c r="D42" i="58"/>
  <c r="D38" i="58"/>
  <c r="D73" i="58"/>
  <c r="D51" i="58"/>
  <c r="D40" i="58"/>
  <c r="D33" i="58"/>
  <c r="D59" i="58"/>
  <c r="D55" i="58"/>
  <c r="D52" i="58"/>
  <c r="D48" i="58"/>
  <c r="D45" i="58"/>
  <c r="D41" i="58"/>
  <c r="D36" i="58"/>
  <c r="D34" i="58"/>
  <c r="D32" i="58"/>
  <c r="D30" i="58"/>
  <c r="Z27" i="58"/>
  <c r="Z31" i="58"/>
  <c r="Z35" i="58"/>
  <c r="Z29" i="58"/>
  <c r="Z33" i="58"/>
  <c r="Z37" i="58"/>
  <c r="Z38" i="58"/>
  <c r="Z28" i="58"/>
  <c r="Z32" i="58"/>
  <c r="Z36" i="58"/>
  <c r="Z41" i="58"/>
  <c r="Z45" i="58"/>
  <c r="Z49" i="58"/>
  <c r="Z40" i="58"/>
  <c r="Z44" i="58"/>
  <c r="Z30" i="58"/>
  <c r="Z34" i="58"/>
  <c r="Z39" i="58"/>
  <c r="Z43" i="58"/>
  <c r="Z47" i="58"/>
  <c r="Z42" i="58"/>
  <c r="Z53" i="58"/>
  <c r="Z57" i="58"/>
  <c r="Z61" i="58"/>
  <c r="Z65" i="58"/>
  <c r="Z69" i="58"/>
  <c r="Z52" i="58"/>
  <c r="Z56" i="58"/>
  <c r="Z60" i="58"/>
  <c r="Z46" i="58"/>
  <c r="Z48" i="58"/>
  <c r="Z51" i="58"/>
  <c r="Z55" i="58"/>
  <c r="Z59" i="58"/>
  <c r="Z63" i="58"/>
  <c r="Z67" i="58"/>
  <c r="Z71" i="58"/>
  <c r="X29" i="58"/>
  <c r="X33" i="58"/>
  <c r="X37" i="58"/>
  <c r="X38" i="58"/>
  <c r="X27" i="58"/>
  <c r="X31" i="58"/>
  <c r="X35" i="58"/>
  <c r="X39" i="58"/>
  <c r="X43" i="58"/>
  <c r="X47" i="58"/>
  <c r="X30" i="58"/>
  <c r="X34" i="58"/>
  <c r="X42" i="58"/>
  <c r="X46" i="58"/>
  <c r="X41" i="58"/>
  <c r="X45" i="58"/>
  <c r="X32" i="58"/>
  <c r="X40" i="58"/>
  <c r="X48" i="58"/>
  <c r="X51" i="58"/>
  <c r="X55" i="58"/>
  <c r="X59" i="58"/>
  <c r="X63" i="58"/>
  <c r="X67" i="58"/>
  <c r="X71" i="58"/>
  <c r="X36" i="58"/>
  <c r="X50" i="58"/>
  <c r="X54" i="58"/>
  <c r="X58" i="58"/>
  <c r="X62" i="58"/>
  <c r="X44" i="58"/>
  <c r="X53" i="58"/>
  <c r="X57" i="58"/>
  <c r="X61" i="58"/>
  <c r="X65" i="58"/>
  <c r="X69" i="58"/>
  <c r="V27" i="58"/>
  <c r="V31" i="58"/>
  <c r="V35" i="58"/>
  <c r="V29" i="58"/>
  <c r="V33" i="58"/>
  <c r="V37" i="58"/>
  <c r="V38" i="58"/>
  <c r="V30" i="58"/>
  <c r="V34" i="58"/>
  <c r="V41" i="58"/>
  <c r="V45" i="58"/>
  <c r="V49" i="58"/>
  <c r="V40" i="58"/>
  <c r="V44" i="58"/>
  <c r="V28" i="58"/>
  <c r="V32" i="58"/>
  <c r="V36" i="58"/>
  <c r="V39" i="58"/>
  <c r="V43" i="58"/>
  <c r="V47" i="58"/>
  <c r="V53" i="58"/>
  <c r="V57" i="58"/>
  <c r="V61" i="58"/>
  <c r="V65" i="58"/>
  <c r="V69" i="58"/>
  <c r="V42" i="58"/>
  <c r="V52" i="58"/>
  <c r="V56" i="58"/>
  <c r="V60" i="58"/>
  <c r="V48" i="58"/>
  <c r="V51" i="58"/>
  <c r="V55" i="58"/>
  <c r="V59" i="58"/>
  <c r="V63" i="58"/>
  <c r="V67" i="58"/>
  <c r="V71" i="58"/>
  <c r="Z76" i="58"/>
  <c r="V76" i="58"/>
  <c r="X74" i="58"/>
  <c r="Z72" i="58"/>
  <c r="V72" i="58"/>
  <c r="Z62" i="58"/>
  <c r="X60" i="58"/>
  <c r="Z54" i="58"/>
  <c r="X52" i="58"/>
  <c r="X49" i="58"/>
  <c r="X28" i="58"/>
  <c r="V73" i="58"/>
  <c r="X70" i="58"/>
  <c r="X68" i="58"/>
  <c r="X66" i="58"/>
  <c r="X64" i="58"/>
  <c r="V58" i="58"/>
  <c r="V50" i="58"/>
  <c r="Z73" i="58"/>
  <c r="X76" i="58"/>
  <c r="Z74" i="58"/>
  <c r="V74" i="58"/>
  <c r="X72" i="58"/>
  <c r="Z58" i="58"/>
  <c r="X56" i="58"/>
  <c r="Z50" i="58"/>
  <c r="H24" i="58"/>
  <c r="Y36" i="58"/>
  <c r="W34" i="58"/>
  <c r="Y32" i="58"/>
  <c r="W30" i="58"/>
  <c r="Y28" i="58"/>
  <c r="D24" i="58"/>
  <c r="F23" i="58"/>
  <c r="P22" i="58"/>
  <c r="D22" i="58"/>
  <c r="F21" i="58"/>
  <c r="P20" i="58"/>
  <c r="W36" i="58"/>
  <c r="Y34" i="58"/>
  <c r="W32" i="58"/>
  <c r="F2" i="50"/>
  <c r="J23" i="58" l="1"/>
  <c r="H22" i="58"/>
  <c r="H22" i="59"/>
  <c r="K20" i="59"/>
  <c r="J21" i="58"/>
  <c r="H24" i="59"/>
  <c r="H20" i="59"/>
  <c r="K20" i="58"/>
  <c r="M20" i="58" s="1"/>
  <c r="O20" i="58" s="1"/>
  <c r="G46" i="58" s="1"/>
  <c r="H20" i="58"/>
  <c r="K24" i="58"/>
  <c r="G24" i="58"/>
  <c r="G22" i="58"/>
  <c r="K24" i="59"/>
  <c r="I22" i="59"/>
  <c r="I20" i="59"/>
  <c r="K23" i="59"/>
  <c r="G23" i="59"/>
  <c r="H21" i="59"/>
  <c r="J21" i="59"/>
  <c r="H23" i="59"/>
  <c r="J23" i="59"/>
  <c r="G21" i="59"/>
  <c r="K21" i="59"/>
  <c r="I24" i="59"/>
  <c r="J24" i="59" s="1"/>
  <c r="M24" i="59" s="1"/>
  <c r="I22" i="58"/>
  <c r="K22" i="58" s="1"/>
  <c r="I24" i="58"/>
  <c r="G21" i="58"/>
  <c r="K21" i="58"/>
  <c r="G23" i="58"/>
  <c r="K23" i="58"/>
  <c r="H23" i="58"/>
  <c r="L20" i="58"/>
  <c r="H21" i="58"/>
  <c r="L21" i="58" l="1"/>
  <c r="L23" i="58"/>
  <c r="G66" i="58"/>
  <c r="G39" i="58"/>
  <c r="G63" i="58"/>
  <c r="G76" i="58"/>
  <c r="G51" i="58"/>
  <c r="G56" i="58"/>
  <c r="G57" i="58"/>
  <c r="G37" i="58"/>
  <c r="G68" i="58"/>
  <c r="G52" i="58"/>
  <c r="G50" i="58"/>
  <c r="G28" i="58"/>
  <c r="G73" i="58"/>
  <c r="G48" i="58"/>
  <c r="G55" i="58"/>
  <c r="G71" i="58"/>
  <c r="G49" i="58"/>
  <c r="G53" i="58"/>
  <c r="G35" i="58"/>
  <c r="G33" i="58"/>
  <c r="G36" i="58"/>
  <c r="G34" i="58"/>
  <c r="G40" i="58"/>
  <c r="G64" i="58"/>
  <c r="G72" i="58"/>
  <c r="G58" i="58"/>
  <c r="G32" i="58"/>
  <c r="G67" i="58"/>
  <c r="G65" i="58"/>
  <c r="G47" i="58"/>
  <c r="G43" i="58"/>
  <c r="G31" i="58"/>
  <c r="G29" i="58"/>
  <c r="G62" i="58"/>
  <c r="N20" i="58"/>
  <c r="H46" i="58" s="1"/>
  <c r="I46" i="58" s="1"/>
  <c r="G54" i="58"/>
  <c r="G69" i="58"/>
  <c r="G74" i="58"/>
  <c r="G59" i="58"/>
  <c r="G61" i="58"/>
  <c r="G44" i="58"/>
  <c r="G27" i="58"/>
  <c r="G70" i="58"/>
  <c r="G30" i="58"/>
  <c r="G38" i="58"/>
  <c r="G45" i="58"/>
  <c r="G75" i="58"/>
  <c r="G42" i="58"/>
  <c r="G41" i="58"/>
  <c r="G77" i="58"/>
  <c r="G60" i="58"/>
  <c r="J22" i="59"/>
  <c r="K22" i="59"/>
  <c r="L21" i="59"/>
  <c r="M21" i="59"/>
  <c r="L23" i="59"/>
  <c r="M23" i="59"/>
  <c r="J20" i="59"/>
  <c r="M20" i="59" s="1"/>
  <c r="L24" i="59"/>
  <c r="N24" i="59" s="1"/>
  <c r="M23" i="58"/>
  <c r="O23" i="58" s="1"/>
  <c r="P33" i="58" s="1"/>
  <c r="M21" i="58"/>
  <c r="O21" i="58" s="1"/>
  <c r="J24" i="58"/>
  <c r="M24" i="58" s="1"/>
  <c r="O24" i="58" s="1"/>
  <c r="J22" i="58"/>
  <c r="M22" i="58" s="1"/>
  <c r="O22" i="58" s="1"/>
  <c r="H60" i="58" l="1"/>
  <c r="I60" i="58" s="1"/>
  <c r="H70" i="58"/>
  <c r="I70" i="58" s="1"/>
  <c r="H75" i="58"/>
  <c r="I75" i="58" s="1"/>
  <c r="H59" i="58"/>
  <c r="I59" i="58" s="1"/>
  <c r="Q33" i="58"/>
  <c r="R33" i="58" s="1"/>
  <c r="H39" i="58"/>
  <c r="I39" i="58" s="1"/>
  <c r="H55" i="58"/>
  <c r="I55" i="58" s="1"/>
  <c r="H66" i="58"/>
  <c r="I66" i="58" s="1"/>
  <c r="H40" i="58"/>
  <c r="I40" i="58" s="1"/>
  <c r="H57" i="58"/>
  <c r="I57" i="58" s="1"/>
  <c r="H44" i="58"/>
  <c r="I44" i="58" s="1"/>
  <c r="H65" i="58"/>
  <c r="I65" i="58" s="1"/>
  <c r="H36" i="58"/>
  <c r="I36" i="58" s="1"/>
  <c r="H50" i="58"/>
  <c r="I50" i="58" s="1"/>
  <c r="H42" i="58"/>
  <c r="I42" i="58" s="1"/>
  <c r="H30" i="58"/>
  <c r="I30" i="58" s="1"/>
  <c r="H61" i="58"/>
  <c r="I61" i="58" s="1"/>
  <c r="H48" i="58"/>
  <c r="I48" i="58" s="1"/>
  <c r="H54" i="58"/>
  <c r="I54" i="58" s="1"/>
  <c r="H31" i="58"/>
  <c r="I31" i="58" s="1"/>
  <c r="H67" i="58"/>
  <c r="I67" i="58" s="1"/>
  <c r="H64" i="58"/>
  <c r="I64" i="58" s="1"/>
  <c r="H33" i="58"/>
  <c r="I33" i="58" s="1"/>
  <c r="H71" i="58"/>
  <c r="I71" i="58" s="1"/>
  <c r="H37" i="58"/>
  <c r="I37" i="58" s="1"/>
  <c r="H76" i="58"/>
  <c r="I76" i="58" s="1"/>
  <c r="H43" i="58"/>
  <c r="I43" i="58" s="1"/>
  <c r="H32" i="58"/>
  <c r="I32" i="58" s="1"/>
  <c r="H35" i="58"/>
  <c r="I35" i="58" s="1"/>
  <c r="H63" i="58"/>
  <c r="I63" i="58" s="1"/>
  <c r="H56" i="58"/>
  <c r="I56" i="58" s="1"/>
  <c r="H73" i="58"/>
  <c r="I73" i="58" s="1"/>
  <c r="H69" i="58"/>
  <c r="I69" i="58" s="1"/>
  <c r="H41" i="58"/>
  <c r="I41" i="58" s="1"/>
  <c r="H38" i="58"/>
  <c r="I38" i="58" s="1"/>
  <c r="H58" i="58"/>
  <c r="I58" i="58" s="1"/>
  <c r="H51" i="58"/>
  <c r="I51" i="58" s="1"/>
  <c r="H77" i="58"/>
  <c r="I77" i="58" s="1"/>
  <c r="H45" i="58"/>
  <c r="I45" i="58" s="1"/>
  <c r="H27" i="58"/>
  <c r="I27" i="58" s="1"/>
  <c r="H74" i="58"/>
  <c r="I74" i="58" s="1"/>
  <c r="H68" i="58"/>
  <c r="I68" i="58" s="1"/>
  <c r="H49" i="58"/>
  <c r="I49" i="58" s="1"/>
  <c r="H29" i="58"/>
  <c r="I29" i="58" s="1"/>
  <c r="H72" i="58"/>
  <c r="I72" i="58" s="1"/>
  <c r="H28" i="58"/>
  <c r="I28" i="58" s="1"/>
  <c r="H62" i="58"/>
  <c r="I62" i="58" s="1"/>
  <c r="P57" i="58"/>
  <c r="Q57" i="58" s="1"/>
  <c r="R57" i="58" s="1"/>
  <c r="H47" i="58"/>
  <c r="I47" i="58" s="1"/>
  <c r="H34" i="58"/>
  <c r="I34" i="58" s="1"/>
  <c r="H53" i="58"/>
  <c r="I53" i="58" s="1"/>
  <c r="H52" i="58"/>
  <c r="I52" i="58" s="1"/>
  <c r="P42" i="58"/>
  <c r="Q42" i="58" s="1"/>
  <c r="R42" i="58" s="1"/>
  <c r="P39" i="58"/>
  <c r="Q39" i="58" s="1"/>
  <c r="R39" i="58" s="1"/>
  <c r="P46" i="58"/>
  <c r="Q46" i="58" s="1"/>
  <c r="R46" i="58" s="1"/>
  <c r="P70" i="58"/>
  <c r="Q70" i="58" s="1"/>
  <c r="R70" i="58" s="1"/>
  <c r="P64" i="58"/>
  <c r="Q64" i="58" s="1"/>
  <c r="R64" i="58" s="1"/>
  <c r="P60" i="58"/>
  <c r="Q60" i="58" s="1"/>
  <c r="R60" i="58" s="1"/>
  <c r="P41" i="58"/>
  <c r="Q41" i="58" s="1"/>
  <c r="R41" i="58" s="1"/>
  <c r="P30" i="58"/>
  <c r="Q30" i="58" s="1"/>
  <c r="R30" i="58" s="1"/>
  <c r="P67" i="58"/>
  <c r="Q67" i="58" s="1"/>
  <c r="R67" i="58" s="1"/>
  <c r="P73" i="58"/>
  <c r="Q73" i="58" s="1"/>
  <c r="R73" i="58" s="1"/>
  <c r="P29" i="58"/>
  <c r="Q29" i="58" s="1"/>
  <c r="R29" i="58" s="1"/>
  <c r="P34" i="58"/>
  <c r="Q34" i="58" s="1"/>
  <c r="R34" i="58" s="1"/>
  <c r="P68" i="58"/>
  <c r="Q68" i="58" s="1"/>
  <c r="R68" i="58" s="1"/>
  <c r="P40" i="58"/>
  <c r="Q40" i="58" s="1"/>
  <c r="R40" i="58" s="1"/>
  <c r="P48" i="58"/>
  <c r="Q48" i="58" s="1"/>
  <c r="R48" i="58" s="1"/>
  <c r="P27" i="58"/>
  <c r="Q27" i="58" s="1"/>
  <c r="R27" i="58" s="1"/>
  <c r="P75" i="58"/>
  <c r="Q75" i="58" s="1"/>
  <c r="R75" i="58" s="1"/>
  <c r="P54" i="58"/>
  <c r="Q54" i="58" s="1"/>
  <c r="R54" i="58" s="1"/>
  <c r="P62" i="58"/>
  <c r="Q62" i="58" s="1"/>
  <c r="R62" i="58" s="1"/>
  <c r="P66" i="58"/>
  <c r="Q66" i="58" s="1"/>
  <c r="R66" i="58" s="1"/>
  <c r="P74" i="58"/>
  <c r="Q74" i="58" s="1"/>
  <c r="R74" i="58" s="1"/>
  <c r="P65" i="58"/>
  <c r="Q65" i="58" s="1"/>
  <c r="R65" i="58" s="1"/>
  <c r="P37" i="58"/>
  <c r="Q37" i="58" s="1"/>
  <c r="R37" i="58" s="1"/>
  <c r="P47" i="58"/>
  <c r="Q47" i="58" s="1"/>
  <c r="R47" i="58" s="1"/>
  <c r="P76" i="58"/>
  <c r="Q76" i="58" s="1"/>
  <c r="R76" i="58" s="1"/>
  <c r="P43" i="58"/>
  <c r="Q43" i="58" s="1"/>
  <c r="R43" i="58" s="1"/>
  <c r="P63" i="58"/>
  <c r="Q63" i="58" s="1"/>
  <c r="R63" i="58" s="1"/>
  <c r="P72" i="58"/>
  <c r="Q72" i="58" s="1"/>
  <c r="R72" i="58" s="1"/>
  <c r="P77" i="58"/>
  <c r="Q77" i="58" s="1"/>
  <c r="R77" i="58" s="1"/>
  <c r="P28" i="58"/>
  <c r="Q28" i="58" s="1"/>
  <c r="R28" i="58" s="1"/>
  <c r="P36" i="58"/>
  <c r="Q36" i="58" s="1"/>
  <c r="R36" i="58" s="1"/>
  <c r="N23" i="59"/>
  <c r="P71" i="58"/>
  <c r="Q71" i="58" s="1"/>
  <c r="R71" i="58" s="1"/>
  <c r="P31" i="58"/>
  <c r="Q31" i="58" s="1"/>
  <c r="R31" i="58" s="1"/>
  <c r="P59" i="58"/>
  <c r="Q59" i="58" s="1"/>
  <c r="R59" i="58" s="1"/>
  <c r="P51" i="58"/>
  <c r="Q51" i="58" s="1"/>
  <c r="R51" i="58" s="1"/>
  <c r="P32" i="58"/>
  <c r="Q32" i="58" s="1"/>
  <c r="R32" i="58" s="1"/>
  <c r="P52" i="58"/>
  <c r="Q52" i="58" s="1"/>
  <c r="R52" i="58" s="1"/>
  <c r="P61" i="58"/>
  <c r="Q61" i="58" s="1"/>
  <c r="R61" i="58" s="1"/>
  <c r="P49" i="58"/>
  <c r="Q49" i="58" s="1"/>
  <c r="R49" i="58" s="1"/>
  <c r="P38" i="58"/>
  <c r="Q38" i="58" s="1"/>
  <c r="R38" i="58" s="1"/>
  <c r="P55" i="58"/>
  <c r="Q55" i="58" s="1"/>
  <c r="R55" i="58" s="1"/>
  <c r="P58" i="58"/>
  <c r="Q58" i="58" s="1"/>
  <c r="R58" i="58" s="1"/>
  <c r="P35" i="58"/>
  <c r="Q35" i="58" s="1"/>
  <c r="R35" i="58" s="1"/>
  <c r="P50" i="58"/>
  <c r="Q50" i="58" s="1"/>
  <c r="R50" i="58" s="1"/>
  <c r="P44" i="58"/>
  <c r="Q44" i="58" s="1"/>
  <c r="R44" i="58" s="1"/>
  <c r="P56" i="58"/>
  <c r="Q56" i="58" s="1"/>
  <c r="R56" i="58" s="1"/>
  <c r="P69" i="58"/>
  <c r="Q69" i="58" s="1"/>
  <c r="R69" i="58" s="1"/>
  <c r="P53" i="58"/>
  <c r="Q53" i="58" s="1"/>
  <c r="R53" i="58" s="1"/>
  <c r="P45" i="58"/>
  <c r="Q45" i="58" s="1"/>
  <c r="R45" i="58" s="1"/>
  <c r="L20" i="59"/>
  <c r="N20" i="59" s="1"/>
  <c r="N21" i="59"/>
  <c r="M22" i="59"/>
  <c r="L22" i="59"/>
  <c r="N21" i="58"/>
  <c r="N23" i="58"/>
  <c r="L22" i="58"/>
  <c r="N22" i="58" s="1"/>
  <c r="M27" i="58"/>
  <c r="N27" i="58" s="1"/>
  <c r="O27" i="58" s="1"/>
  <c r="M31" i="58"/>
  <c r="N31" i="58" s="1"/>
  <c r="O31" i="58" s="1"/>
  <c r="M35" i="58"/>
  <c r="N35" i="58" s="1"/>
  <c r="O35" i="58" s="1"/>
  <c r="M38" i="58"/>
  <c r="N38" i="58" s="1"/>
  <c r="O38" i="58" s="1"/>
  <c r="M47" i="58"/>
  <c r="N47" i="58" s="1"/>
  <c r="O47" i="58" s="1"/>
  <c r="M40" i="58"/>
  <c r="N40" i="58" s="1"/>
  <c r="O40" i="58" s="1"/>
  <c r="M33" i="58"/>
  <c r="N33" i="58" s="1"/>
  <c r="O33" i="58" s="1"/>
  <c r="M45" i="58"/>
  <c r="N45" i="58" s="1"/>
  <c r="O45" i="58" s="1"/>
  <c r="M37" i="58"/>
  <c r="N37" i="58" s="1"/>
  <c r="O37" i="58" s="1"/>
  <c r="M39" i="58"/>
  <c r="N39" i="58" s="1"/>
  <c r="O39" i="58" s="1"/>
  <c r="M51" i="58"/>
  <c r="N51" i="58" s="1"/>
  <c r="O51" i="58" s="1"/>
  <c r="M55" i="58"/>
  <c r="N55" i="58" s="1"/>
  <c r="O55" i="58" s="1"/>
  <c r="M59" i="58"/>
  <c r="N59" i="58" s="1"/>
  <c r="O59" i="58" s="1"/>
  <c r="M63" i="58"/>
  <c r="N63" i="58" s="1"/>
  <c r="O63" i="58" s="1"/>
  <c r="M41" i="58"/>
  <c r="N41" i="58" s="1"/>
  <c r="O41" i="58" s="1"/>
  <c r="M53" i="58"/>
  <c r="N53" i="58" s="1"/>
  <c r="O53" i="58" s="1"/>
  <c r="M61" i="58"/>
  <c r="N61" i="58" s="1"/>
  <c r="O61" i="58" s="1"/>
  <c r="M76" i="58"/>
  <c r="N76" i="58" s="1"/>
  <c r="O76" i="58" s="1"/>
  <c r="M49" i="58"/>
  <c r="N49" i="58" s="1"/>
  <c r="O49" i="58" s="1"/>
  <c r="M29" i="58"/>
  <c r="N29" i="58" s="1"/>
  <c r="O29" i="58" s="1"/>
  <c r="M57" i="58"/>
  <c r="N57" i="58" s="1"/>
  <c r="O57" i="58" s="1"/>
  <c r="M65" i="58"/>
  <c r="N65" i="58" s="1"/>
  <c r="O65" i="58" s="1"/>
  <c r="M67" i="58"/>
  <c r="N67" i="58" s="1"/>
  <c r="O67" i="58" s="1"/>
  <c r="M69" i="58"/>
  <c r="N69" i="58" s="1"/>
  <c r="O69" i="58" s="1"/>
  <c r="M71" i="58"/>
  <c r="N71" i="58" s="1"/>
  <c r="O71" i="58" s="1"/>
  <c r="M74" i="58"/>
  <c r="N74" i="58" s="1"/>
  <c r="O74" i="58" s="1"/>
  <c r="M73" i="58"/>
  <c r="N73" i="58" s="1"/>
  <c r="O73" i="58" s="1"/>
  <c r="M58" i="58"/>
  <c r="N58" i="58" s="1"/>
  <c r="O58" i="58" s="1"/>
  <c r="M54" i="58"/>
  <c r="N54" i="58" s="1"/>
  <c r="O54" i="58" s="1"/>
  <c r="M48" i="58"/>
  <c r="N48" i="58" s="1"/>
  <c r="O48" i="58" s="1"/>
  <c r="M36" i="58"/>
  <c r="N36" i="58" s="1"/>
  <c r="O36" i="58" s="1"/>
  <c r="M60" i="58"/>
  <c r="N60" i="58" s="1"/>
  <c r="O60" i="58" s="1"/>
  <c r="M32" i="58"/>
  <c r="N32" i="58" s="1"/>
  <c r="O32" i="58" s="1"/>
  <c r="M43" i="58"/>
  <c r="N43" i="58" s="1"/>
  <c r="O43" i="58" s="1"/>
  <c r="M77" i="58"/>
  <c r="N77" i="58" s="1"/>
  <c r="O77" i="58" s="1"/>
  <c r="M70" i="58"/>
  <c r="N70" i="58" s="1"/>
  <c r="O70" i="58" s="1"/>
  <c r="M56" i="58"/>
  <c r="N56" i="58" s="1"/>
  <c r="O56" i="58" s="1"/>
  <c r="M46" i="58"/>
  <c r="N46" i="58" s="1"/>
  <c r="O46" i="58" s="1"/>
  <c r="M64" i="58"/>
  <c r="N64" i="58" s="1"/>
  <c r="O64" i="58" s="1"/>
  <c r="M68" i="58"/>
  <c r="N68" i="58" s="1"/>
  <c r="O68" i="58" s="1"/>
  <c r="M75" i="58"/>
  <c r="N75" i="58" s="1"/>
  <c r="O75" i="58" s="1"/>
  <c r="M50" i="58"/>
  <c r="N50" i="58" s="1"/>
  <c r="O50" i="58" s="1"/>
  <c r="M62" i="58"/>
  <c r="N62" i="58" s="1"/>
  <c r="O62" i="58" s="1"/>
  <c r="M42" i="58"/>
  <c r="N42" i="58" s="1"/>
  <c r="O42" i="58" s="1"/>
  <c r="M44" i="58"/>
  <c r="N44" i="58" s="1"/>
  <c r="O44" i="58" s="1"/>
  <c r="M28" i="58"/>
  <c r="N28" i="58" s="1"/>
  <c r="O28" i="58" s="1"/>
  <c r="M34" i="58"/>
  <c r="N34" i="58" s="1"/>
  <c r="O34" i="58" s="1"/>
  <c r="M30" i="58"/>
  <c r="N30" i="58" s="1"/>
  <c r="O30" i="58" s="1"/>
  <c r="M66" i="58"/>
  <c r="N66" i="58" s="1"/>
  <c r="O66" i="58" s="1"/>
  <c r="M72" i="58"/>
  <c r="N72" i="58" s="1"/>
  <c r="O72" i="58" s="1"/>
  <c r="M52" i="58"/>
  <c r="N52" i="58" s="1"/>
  <c r="O52" i="58" s="1"/>
  <c r="S27" i="58"/>
  <c r="T27" i="58" s="1"/>
  <c r="U27" i="58" s="1"/>
  <c r="S31" i="58"/>
  <c r="T31" i="58" s="1"/>
  <c r="U31" i="58" s="1"/>
  <c r="S35" i="58"/>
  <c r="T35" i="58" s="1"/>
  <c r="U35" i="58" s="1"/>
  <c r="S38" i="58"/>
  <c r="T38" i="58" s="1"/>
  <c r="U38" i="58" s="1"/>
  <c r="S45" i="58"/>
  <c r="T45" i="58" s="1"/>
  <c r="U45" i="58" s="1"/>
  <c r="S29" i="58"/>
  <c r="T29" i="58" s="1"/>
  <c r="U29" i="58" s="1"/>
  <c r="S33" i="58"/>
  <c r="T33" i="58" s="1"/>
  <c r="U33" i="58" s="1"/>
  <c r="S37" i="58"/>
  <c r="T37" i="58" s="1"/>
  <c r="U37" i="58" s="1"/>
  <c r="S44" i="58"/>
  <c r="T44" i="58" s="1"/>
  <c r="U44" i="58" s="1"/>
  <c r="S47" i="58"/>
  <c r="T47" i="58" s="1"/>
  <c r="U47" i="58" s="1"/>
  <c r="S53" i="58"/>
  <c r="T53" i="58" s="1"/>
  <c r="U53" i="58" s="1"/>
  <c r="S57" i="58"/>
  <c r="T57" i="58" s="1"/>
  <c r="U57" i="58" s="1"/>
  <c r="S61" i="58"/>
  <c r="T61" i="58" s="1"/>
  <c r="U61" i="58" s="1"/>
  <c r="S40" i="58"/>
  <c r="T40" i="58" s="1"/>
  <c r="U40" i="58" s="1"/>
  <c r="S49" i="58"/>
  <c r="T49" i="58" s="1"/>
  <c r="U49" i="58" s="1"/>
  <c r="S51" i="58"/>
  <c r="T51" i="58" s="1"/>
  <c r="U51" i="58" s="1"/>
  <c r="S76" i="58"/>
  <c r="T76" i="58" s="1"/>
  <c r="U76" i="58" s="1"/>
  <c r="S43" i="58"/>
  <c r="T43" i="58" s="1"/>
  <c r="U43" i="58" s="1"/>
  <c r="S55" i="58"/>
  <c r="T55" i="58" s="1"/>
  <c r="U55" i="58" s="1"/>
  <c r="S63" i="58"/>
  <c r="T63" i="58" s="1"/>
  <c r="U63" i="58" s="1"/>
  <c r="S65" i="58"/>
  <c r="T65" i="58" s="1"/>
  <c r="U65" i="58" s="1"/>
  <c r="S67" i="58"/>
  <c r="T67" i="58" s="1"/>
  <c r="U67" i="58" s="1"/>
  <c r="S69" i="58"/>
  <c r="T69" i="58" s="1"/>
  <c r="U69" i="58" s="1"/>
  <c r="S71" i="58"/>
  <c r="T71" i="58" s="1"/>
  <c r="U71" i="58" s="1"/>
  <c r="S74" i="58"/>
  <c r="T74" i="58" s="1"/>
  <c r="U74" i="58" s="1"/>
  <c r="S59" i="58"/>
  <c r="T59" i="58" s="1"/>
  <c r="U59" i="58" s="1"/>
  <c r="S70" i="58"/>
  <c r="T70" i="58" s="1"/>
  <c r="U70" i="58" s="1"/>
  <c r="S68" i="58"/>
  <c r="T68" i="58" s="1"/>
  <c r="U68" i="58" s="1"/>
  <c r="S73" i="58"/>
  <c r="T73" i="58" s="1"/>
  <c r="U73" i="58" s="1"/>
  <c r="S62" i="58"/>
  <c r="T62" i="58" s="1"/>
  <c r="U62" i="58" s="1"/>
  <c r="S56" i="58"/>
  <c r="T56" i="58" s="1"/>
  <c r="U56" i="58" s="1"/>
  <c r="S42" i="58"/>
  <c r="T42" i="58" s="1"/>
  <c r="U42" i="58" s="1"/>
  <c r="S41" i="58"/>
  <c r="T41" i="58" s="1"/>
  <c r="U41" i="58" s="1"/>
  <c r="S34" i="58"/>
  <c r="T34" i="58" s="1"/>
  <c r="U34" i="58" s="1"/>
  <c r="S30" i="58"/>
  <c r="T30" i="58" s="1"/>
  <c r="U30" i="58" s="1"/>
  <c r="S64" i="58"/>
  <c r="T64" i="58" s="1"/>
  <c r="U64" i="58" s="1"/>
  <c r="S36" i="58"/>
  <c r="T36" i="58" s="1"/>
  <c r="U36" i="58" s="1"/>
  <c r="S50" i="58"/>
  <c r="T50" i="58" s="1"/>
  <c r="U50" i="58" s="1"/>
  <c r="S75" i="58"/>
  <c r="T75" i="58" s="1"/>
  <c r="U75" i="58" s="1"/>
  <c r="S72" i="58"/>
  <c r="T72" i="58" s="1"/>
  <c r="U72" i="58" s="1"/>
  <c r="S39" i="58"/>
  <c r="T39" i="58" s="1"/>
  <c r="U39" i="58" s="1"/>
  <c r="S28" i="58"/>
  <c r="T28" i="58" s="1"/>
  <c r="U28" i="58" s="1"/>
  <c r="S46" i="58"/>
  <c r="T46" i="58" s="1"/>
  <c r="U46" i="58" s="1"/>
  <c r="S66" i="58"/>
  <c r="T66" i="58" s="1"/>
  <c r="U66" i="58" s="1"/>
  <c r="S77" i="58"/>
  <c r="T77" i="58" s="1"/>
  <c r="U77" i="58" s="1"/>
  <c r="S58" i="58"/>
  <c r="T58" i="58" s="1"/>
  <c r="U58" i="58" s="1"/>
  <c r="S54" i="58"/>
  <c r="T54" i="58" s="1"/>
  <c r="U54" i="58" s="1"/>
  <c r="S60" i="58"/>
  <c r="T60" i="58" s="1"/>
  <c r="U60" i="58" s="1"/>
  <c r="S52" i="58"/>
  <c r="T52" i="58" s="1"/>
  <c r="U52" i="58" s="1"/>
  <c r="S48" i="58"/>
  <c r="T48" i="58" s="1"/>
  <c r="U48" i="58" s="1"/>
  <c r="S32" i="58"/>
  <c r="T32" i="58" s="1"/>
  <c r="U32" i="58" s="1"/>
  <c r="J27" i="58"/>
  <c r="K27" i="58" s="1"/>
  <c r="L27" i="58" s="1"/>
  <c r="J31" i="58"/>
  <c r="K31" i="58" s="1"/>
  <c r="L31" i="58" s="1"/>
  <c r="J35" i="58"/>
  <c r="K35" i="58" s="1"/>
  <c r="L35" i="58" s="1"/>
  <c r="J29" i="58"/>
  <c r="K29" i="58" s="1"/>
  <c r="L29" i="58" s="1"/>
  <c r="J33" i="58"/>
  <c r="K33" i="58" s="1"/>
  <c r="L33" i="58" s="1"/>
  <c r="J37" i="58"/>
  <c r="K37" i="58" s="1"/>
  <c r="L37" i="58" s="1"/>
  <c r="J38" i="58"/>
  <c r="K38" i="58" s="1"/>
  <c r="L38" i="58" s="1"/>
  <c r="J40" i="58"/>
  <c r="K40" i="58" s="1"/>
  <c r="L40" i="58" s="1"/>
  <c r="J41" i="58"/>
  <c r="K41" i="58" s="1"/>
  <c r="L41" i="58" s="1"/>
  <c r="J45" i="58"/>
  <c r="K45" i="58" s="1"/>
  <c r="L45" i="58" s="1"/>
  <c r="J49" i="58"/>
  <c r="K49" i="58" s="1"/>
  <c r="L49" i="58" s="1"/>
  <c r="J44" i="58"/>
  <c r="K44" i="58" s="1"/>
  <c r="L44" i="58" s="1"/>
  <c r="J30" i="58"/>
  <c r="K30" i="58" s="1"/>
  <c r="L30" i="58" s="1"/>
  <c r="J34" i="58"/>
  <c r="K34" i="58" s="1"/>
  <c r="L34" i="58" s="1"/>
  <c r="J43" i="58"/>
  <c r="K43" i="58" s="1"/>
  <c r="L43" i="58" s="1"/>
  <c r="J47" i="58"/>
  <c r="K47" i="58" s="1"/>
  <c r="L47" i="58" s="1"/>
  <c r="J53" i="58"/>
  <c r="K53" i="58" s="1"/>
  <c r="L53" i="58" s="1"/>
  <c r="J57" i="58"/>
  <c r="K57" i="58" s="1"/>
  <c r="L57" i="58" s="1"/>
  <c r="J61" i="58"/>
  <c r="K61" i="58" s="1"/>
  <c r="L61" i="58" s="1"/>
  <c r="J65" i="58"/>
  <c r="K65" i="58" s="1"/>
  <c r="L65" i="58" s="1"/>
  <c r="J69" i="58"/>
  <c r="K69" i="58" s="1"/>
  <c r="L69" i="58" s="1"/>
  <c r="J52" i="58"/>
  <c r="K52" i="58" s="1"/>
  <c r="L52" i="58" s="1"/>
  <c r="J56" i="58"/>
  <c r="K56" i="58" s="1"/>
  <c r="L56" i="58" s="1"/>
  <c r="J60" i="58"/>
  <c r="K60" i="58" s="1"/>
  <c r="L60" i="58" s="1"/>
  <c r="J51" i="58"/>
  <c r="K51" i="58" s="1"/>
  <c r="L51" i="58" s="1"/>
  <c r="J55" i="58"/>
  <c r="K55" i="58" s="1"/>
  <c r="L55" i="58" s="1"/>
  <c r="J59" i="58"/>
  <c r="K59" i="58" s="1"/>
  <c r="L59" i="58" s="1"/>
  <c r="J63" i="58"/>
  <c r="K63" i="58" s="1"/>
  <c r="L63" i="58" s="1"/>
  <c r="J67" i="58"/>
  <c r="K67" i="58" s="1"/>
  <c r="L67" i="58" s="1"/>
  <c r="J71" i="58"/>
  <c r="K71" i="58" s="1"/>
  <c r="L71" i="58" s="1"/>
  <c r="J74" i="58"/>
  <c r="K74" i="58" s="1"/>
  <c r="L74" i="58" s="1"/>
  <c r="J73" i="58"/>
  <c r="K73" i="58" s="1"/>
  <c r="L73" i="58" s="1"/>
  <c r="J58" i="58"/>
  <c r="K58" i="58" s="1"/>
  <c r="L58" i="58" s="1"/>
  <c r="J76" i="58"/>
  <c r="K76" i="58" s="1"/>
  <c r="L76" i="58" s="1"/>
  <c r="J72" i="58"/>
  <c r="K72" i="58" s="1"/>
  <c r="L72" i="58" s="1"/>
  <c r="J36" i="58"/>
  <c r="K36" i="58" s="1"/>
  <c r="L36" i="58" s="1"/>
  <c r="J32" i="58"/>
  <c r="K32" i="58" s="1"/>
  <c r="L32" i="58" s="1"/>
  <c r="J28" i="58"/>
  <c r="K28" i="58" s="1"/>
  <c r="L28" i="58" s="1"/>
  <c r="J50" i="58"/>
  <c r="K50" i="58" s="1"/>
  <c r="L50" i="58" s="1"/>
  <c r="J42" i="58"/>
  <c r="K42" i="58" s="1"/>
  <c r="L42" i="58" s="1"/>
  <c r="J68" i="58"/>
  <c r="K68" i="58" s="1"/>
  <c r="L68" i="58" s="1"/>
  <c r="J39" i="58"/>
  <c r="K39" i="58" s="1"/>
  <c r="L39" i="58" s="1"/>
  <c r="J64" i="58"/>
  <c r="K64" i="58" s="1"/>
  <c r="L64" i="58" s="1"/>
  <c r="J70" i="58"/>
  <c r="K70" i="58" s="1"/>
  <c r="L70" i="58" s="1"/>
  <c r="J66" i="58"/>
  <c r="K66" i="58" s="1"/>
  <c r="L66" i="58" s="1"/>
  <c r="J77" i="58"/>
  <c r="K77" i="58" s="1"/>
  <c r="L77" i="58" s="1"/>
  <c r="J48" i="58"/>
  <c r="K48" i="58" s="1"/>
  <c r="L48" i="58" s="1"/>
  <c r="J75" i="58"/>
  <c r="K75" i="58" s="1"/>
  <c r="L75" i="58" s="1"/>
  <c r="J46" i="58"/>
  <c r="K46" i="58" s="1"/>
  <c r="L46" i="58" s="1"/>
  <c r="J62" i="58"/>
  <c r="K62" i="58" s="1"/>
  <c r="L62" i="58" s="1"/>
  <c r="J54" i="58"/>
  <c r="K54" i="58" s="1"/>
  <c r="L54" i="58" s="1"/>
  <c r="L24" i="58"/>
  <c r="N24" i="58" s="1"/>
  <c r="N22" i="59" l="1"/>
  <c r="K44" i="59"/>
  <c r="L44" i="59" s="1"/>
  <c r="K48" i="59"/>
  <c r="L48" i="59" s="1"/>
  <c r="K53" i="59"/>
  <c r="L53" i="59" s="1"/>
  <c r="K58" i="59"/>
  <c r="L58" i="59" s="1"/>
  <c r="K66" i="59"/>
  <c r="L66" i="59" s="1"/>
  <c r="K62" i="59"/>
  <c r="L62" i="59" s="1"/>
  <c r="K56" i="59"/>
  <c r="L56" i="59" s="1"/>
  <c r="K63" i="59"/>
  <c r="L63" i="59" s="1"/>
  <c r="K51" i="59"/>
  <c r="L51" i="59" s="1"/>
  <c r="K35" i="59"/>
  <c r="L35" i="59" s="1"/>
  <c r="K50" i="59"/>
  <c r="L50" i="59" s="1"/>
  <c r="K42" i="59"/>
  <c r="L42" i="59" s="1"/>
  <c r="K57" i="59"/>
  <c r="L57" i="59" s="1"/>
  <c r="K59" i="59"/>
  <c r="L59" i="59" s="1"/>
  <c r="K43" i="59"/>
  <c r="L43" i="59" s="1"/>
  <c r="K45" i="59"/>
  <c r="L45" i="59" s="1"/>
  <c r="K36" i="59"/>
  <c r="L36" i="59" s="1"/>
  <c r="K32" i="59"/>
  <c r="L32" i="59" s="1"/>
  <c r="K60" i="59"/>
  <c r="L60" i="59" s="1"/>
  <c r="K47" i="59"/>
  <c r="L47" i="59" s="1"/>
  <c r="K54" i="59"/>
  <c r="L54" i="59" s="1"/>
  <c r="K46" i="59"/>
  <c r="L46" i="59" s="1"/>
  <c r="K61" i="59"/>
  <c r="L61" i="59" s="1"/>
  <c r="K55" i="59"/>
  <c r="L55" i="59" s="1"/>
  <c r="K52" i="59"/>
  <c r="L52" i="59" s="1"/>
  <c r="K64" i="59"/>
  <c r="L64" i="59" s="1"/>
  <c r="K49" i="59"/>
  <c r="L49" i="59" s="1"/>
  <c r="K39" i="59"/>
  <c r="L39" i="59" s="1"/>
  <c r="K40" i="59"/>
  <c r="L40" i="59" s="1"/>
  <c r="K28" i="59"/>
  <c r="L28" i="59" s="1"/>
  <c r="K30" i="59"/>
  <c r="L30" i="59" s="1"/>
  <c r="K27" i="59"/>
  <c r="L27" i="59" s="1"/>
  <c r="K29" i="59"/>
  <c r="L29" i="59" s="1"/>
  <c r="K37" i="59"/>
  <c r="L37" i="59" s="1"/>
  <c r="K67" i="59"/>
  <c r="L67" i="59" s="1"/>
  <c r="K31" i="59"/>
  <c r="L31" i="59" s="1"/>
  <c r="K65" i="59"/>
  <c r="L65" i="59" s="1"/>
  <c r="K41" i="59"/>
  <c r="L41" i="59" s="1"/>
  <c r="K34" i="59"/>
  <c r="L34" i="59" s="1"/>
  <c r="K33" i="59"/>
  <c r="L33" i="59" s="1"/>
  <c r="K38" i="59"/>
  <c r="L38" i="59" s="1"/>
  <c r="T37" i="59"/>
  <c r="U37" i="59" s="1"/>
  <c r="H52" i="59"/>
  <c r="I52" i="59" s="1"/>
  <c r="N52" i="59"/>
  <c r="O52" i="59" s="1"/>
  <c r="H38" i="59"/>
  <c r="I38" i="59" s="1"/>
  <c r="H45" i="59"/>
  <c r="I45" i="59" s="1"/>
  <c r="T41" i="59"/>
  <c r="U41" i="59" s="1"/>
  <c r="H59" i="59"/>
  <c r="I59" i="59" s="1"/>
  <c r="Q63" i="59"/>
  <c r="R63" i="59" s="1"/>
  <c r="T66" i="59"/>
  <c r="U66" i="59" s="1"/>
  <c r="H66" i="59"/>
  <c r="I66" i="59" s="1"/>
  <c r="H65" i="59"/>
  <c r="I65" i="59" s="1"/>
  <c r="N67" i="59"/>
  <c r="O67" i="59" s="1"/>
  <c r="Q58" i="59"/>
  <c r="R58" i="59" s="1"/>
  <c r="T52" i="59"/>
  <c r="U52" i="59" s="1"/>
  <c r="H58" i="59"/>
  <c r="I58" i="59" s="1"/>
  <c r="T54" i="59"/>
  <c r="U54" i="59" s="1"/>
  <c r="H60" i="59"/>
  <c r="I60" i="59" s="1"/>
  <c r="N51" i="59"/>
  <c r="O51" i="59" s="1"/>
  <c r="N66" i="59"/>
  <c r="O66" i="59" s="1"/>
  <c r="H56" i="59"/>
  <c r="I56" i="59" s="1"/>
  <c r="Q48" i="59"/>
  <c r="R48" i="59" s="1"/>
  <c r="Q49" i="59"/>
  <c r="R49" i="59" s="1"/>
  <c r="H44" i="59"/>
  <c r="I44" i="59" s="1"/>
  <c r="T29" i="59"/>
  <c r="U29" i="59" s="1"/>
  <c r="N49" i="59"/>
  <c r="O49" i="59" s="1"/>
  <c r="N44" i="59"/>
  <c r="O44" i="59" s="1"/>
  <c r="N37" i="59"/>
  <c r="O37" i="59" s="1"/>
  <c r="H37" i="59"/>
  <c r="I37" i="59" s="1"/>
  <c r="H29" i="59"/>
  <c r="I29" i="59" s="1"/>
  <c r="H36" i="59"/>
  <c r="I36" i="59" s="1"/>
  <c r="N27" i="59"/>
  <c r="O27" i="59" s="1"/>
  <c r="T39" i="59"/>
  <c r="U39" i="59" s="1"/>
  <c r="Q30" i="59"/>
  <c r="R30" i="59" s="1"/>
  <c r="N64" i="59"/>
  <c r="O64" i="59" s="1"/>
  <c r="T62" i="59"/>
  <c r="U62" i="59" s="1"/>
  <c r="Q62" i="59"/>
  <c r="R62" i="59" s="1"/>
  <c r="N55" i="59"/>
  <c r="O55" i="59" s="1"/>
  <c r="Q66" i="59"/>
  <c r="R66" i="59" s="1"/>
  <c r="H49" i="59"/>
  <c r="I49" i="59" s="1"/>
  <c r="H55" i="59"/>
  <c r="I55" i="59" s="1"/>
  <c r="N60" i="59"/>
  <c r="O60" i="59" s="1"/>
  <c r="Q55" i="59"/>
  <c r="R55" i="59" s="1"/>
  <c r="N34" i="59"/>
  <c r="O34" i="59" s="1"/>
  <c r="H48" i="59"/>
  <c r="I48" i="59" s="1"/>
  <c r="H42" i="59"/>
  <c r="I42" i="59" s="1"/>
  <c r="N48" i="59"/>
  <c r="O48" i="59" s="1"/>
  <c r="N42" i="59"/>
  <c r="O42" i="59" s="1"/>
  <c r="T33" i="59"/>
  <c r="U33" i="59" s="1"/>
  <c r="T48" i="59"/>
  <c r="U48" i="59" s="1"/>
  <c r="N40" i="59"/>
  <c r="O40" i="59" s="1"/>
  <c r="H27" i="59"/>
  <c r="I27" i="59" s="1"/>
  <c r="H63" i="59"/>
  <c r="I63" i="59" s="1"/>
  <c r="H54" i="59"/>
  <c r="I54" i="59" s="1"/>
  <c r="N63" i="59"/>
  <c r="O63" i="59" s="1"/>
  <c r="N56" i="59"/>
  <c r="O56" i="59" s="1"/>
  <c r="N58" i="59"/>
  <c r="O58" i="59" s="1"/>
  <c r="Q54" i="59"/>
  <c r="R54" i="59" s="1"/>
  <c r="Q59" i="59"/>
  <c r="R59" i="59" s="1"/>
  <c r="T53" i="59"/>
  <c r="U53" i="59" s="1"/>
  <c r="Q44" i="59"/>
  <c r="R44" i="59" s="1"/>
  <c r="H33" i="59"/>
  <c r="I33" i="59" s="1"/>
  <c r="Q52" i="59"/>
  <c r="R52" i="59" s="1"/>
  <c r="H46" i="59"/>
  <c r="I46" i="59" s="1"/>
  <c r="H41" i="59"/>
  <c r="I41" i="59" s="1"/>
  <c r="N46" i="59"/>
  <c r="O46" i="59" s="1"/>
  <c r="Q41" i="59"/>
  <c r="R41" i="59" s="1"/>
  <c r="N39" i="59"/>
  <c r="O39" i="59" s="1"/>
  <c r="N35" i="59"/>
  <c r="O35" i="59" s="1"/>
  <c r="N31" i="59"/>
  <c r="O31" i="59" s="1"/>
  <c r="N41" i="59"/>
  <c r="O41" i="59" s="1"/>
  <c r="N33" i="59"/>
  <c r="O33" i="59" s="1"/>
  <c r="T36" i="59"/>
  <c r="U36" i="59" s="1"/>
  <c r="Q34" i="59"/>
  <c r="R34" i="59" s="1"/>
  <c r="H62" i="59"/>
  <c r="I62" i="59" s="1"/>
  <c r="N59" i="59"/>
  <c r="O59" i="59" s="1"/>
  <c r="Q53" i="59"/>
  <c r="R53" i="59" s="1"/>
  <c r="N62" i="59"/>
  <c r="O62" i="59" s="1"/>
  <c r="H57" i="59"/>
  <c r="I57" i="59" s="1"/>
  <c r="T58" i="59"/>
  <c r="U58" i="59" s="1"/>
  <c r="H53" i="59"/>
  <c r="I53" i="59" s="1"/>
  <c r="H30" i="59"/>
  <c r="I30" i="59" s="1"/>
  <c r="H50" i="59"/>
  <c r="I50" i="59" s="1"/>
  <c r="Q45" i="59"/>
  <c r="R45" i="59" s="1"/>
  <c r="H34" i="59"/>
  <c r="I34" i="59" s="1"/>
  <c r="N50" i="59"/>
  <c r="O50" i="59" s="1"/>
  <c r="N45" i="59"/>
  <c r="O45" i="59" s="1"/>
  <c r="N53" i="59"/>
  <c r="O53" i="59" s="1"/>
  <c r="T44" i="59"/>
  <c r="U44" i="59" s="1"/>
  <c r="Q38" i="59"/>
  <c r="R38" i="59" s="1"/>
  <c r="N30" i="59"/>
  <c r="O30" i="59" s="1"/>
  <c r="N38" i="59"/>
  <c r="O38" i="59" s="1"/>
  <c r="Q37" i="59"/>
  <c r="R37" i="59" s="1"/>
  <c r="N29" i="59"/>
  <c r="O29" i="59" s="1"/>
  <c r="H31" i="59"/>
  <c r="I31" i="59" s="1"/>
  <c r="Q40" i="59"/>
  <c r="R40" i="59" s="1"/>
  <c r="H32" i="59"/>
  <c r="I32" i="59" s="1"/>
  <c r="T57" i="59"/>
  <c r="U57" i="59" s="1"/>
  <c r="N61" i="59"/>
  <c r="O61" i="59" s="1"/>
  <c r="Q39" i="59"/>
  <c r="R39" i="59" s="1"/>
  <c r="T49" i="59"/>
  <c r="U49" i="59" s="1"/>
  <c r="T60" i="59"/>
  <c r="U60" i="59" s="1"/>
  <c r="H67" i="59"/>
  <c r="I67" i="59" s="1"/>
  <c r="Q33" i="59"/>
  <c r="R33" i="59" s="1"/>
  <c r="H39" i="59"/>
  <c r="I39" i="59" s="1"/>
  <c r="N47" i="59"/>
  <c r="O47" i="59" s="1"/>
  <c r="T63" i="59"/>
  <c r="U63" i="59" s="1"/>
  <c r="Q35" i="59"/>
  <c r="R35" i="59" s="1"/>
  <c r="Q27" i="59"/>
  <c r="R27" i="59" s="1"/>
  <c r="Q31" i="59"/>
  <c r="R31" i="59" s="1"/>
  <c r="H40" i="59"/>
  <c r="I40" i="59" s="1"/>
  <c r="Q46" i="59"/>
  <c r="R46" i="59" s="1"/>
  <c r="Q57" i="59"/>
  <c r="R57" i="59" s="1"/>
  <c r="H64" i="59"/>
  <c r="I64" i="59" s="1"/>
  <c r="T34" i="59"/>
  <c r="U34" i="59" s="1"/>
  <c r="Q43" i="59"/>
  <c r="R43" i="59" s="1"/>
  <c r="T55" i="59"/>
  <c r="U55" i="59" s="1"/>
  <c r="Q61" i="59"/>
  <c r="R61" i="59" s="1"/>
  <c r="T28" i="59"/>
  <c r="U28" i="59" s="1"/>
  <c r="T42" i="59"/>
  <c r="U42" i="59" s="1"/>
  <c r="Q42" i="59"/>
  <c r="R42" i="59" s="1"/>
  <c r="T51" i="59"/>
  <c r="U51" i="59" s="1"/>
  <c r="Q65" i="59"/>
  <c r="R65" i="59" s="1"/>
  <c r="T27" i="59"/>
  <c r="U27" i="59" s="1"/>
  <c r="H28" i="59"/>
  <c r="I28" i="59" s="1"/>
  <c r="Q47" i="59"/>
  <c r="R47" i="59" s="1"/>
  <c r="H61" i="59"/>
  <c r="I61" i="59" s="1"/>
  <c r="H51" i="59"/>
  <c r="I51" i="59" s="1"/>
  <c r="T46" i="59"/>
  <c r="U46" i="59" s="1"/>
  <c r="N57" i="59"/>
  <c r="O57" i="59" s="1"/>
  <c r="T31" i="59"/>
  <c r="U31" i="59" s="1"/>
  <c r="H35" i="59"/>
  <c r="I35" i="59" s="1"/>
  <c r="T50" i="59"/>
  <c r="U50" i="59" s="1"/>
  <c r="N43" i="59"/>
  <c r="O43" i="59" s="1"/>
  <c r="T59" i="59"/>
  <c r="U59" i="59" s="1"/>
  <c r="Q28" i="59"/>
  <c r="R28" i="59" s="1"/>
  <c r="H47" i="59"/>
  <c r="I47" i="59" s="1"/>
  <c r="Q60" i="59"/>
  <c r="R60" i="59" s="1"/>
  <c r="Q32" i="59"/>
  <c r="R32" i="59" s="1"/>
  <c r="Q50" i="59"/>
  <c r="R50" i="59" s="1"/>
  <c r="N54" i="59"/>
  <c r="O54" i="59" s="1"/>
  <c r="T61" i="59"/>
  <c r="U61" i="59" s="1"/>
  <c r="T30" i="59"/>
  <c r="U30" i="59" s="1"/>
  <c r="T32" i="59"/>
  <c r="U32" i="59" s="1"/>
  <c r="T64" i="59"/>
  <c r="U64" i="59" s="1"/>
  <c r="N28" i="59"/>
  <c r="O28" i="59" s="1"/>
  <c r="T47" i="59"/>
  <c r="U47" i="59" s="1"/>
  <c r="T67" i="59"/>
  <c r="U67" i="59" s="1"/>
  <c r="N32" i="59"/>
  <c r="O32" i="59" s="1"/>
  <c r="T40" i="59"/>
  <c r="U40" i="59" s="1"/>
  <c r="Q51" i="59"/>
  <c r="R51" i="59" s="1"/>
  <c r="N65" i="59"/>
  <c r="O65" i="59" s="1"/>
  <c r="Q67" i="59"/>
  <c r="R67" i="59" s="1"/>
  <c r="T38" i="59"/>
  <c r="U38" i="59" s="1"/>
  <c r="N36" i="59"/>
  <c r="O36" i="59" s="1"/>
  <c r="T43" i="59"/>
  <c r="U43" i="59" s="1"/>
  <c r="Q56" i="59"/>
  <c r="R56" i="59" s="1"/>
  <c r="Q64" i="59"/>
  <c r="R64" i="59" s="1"/>
  <c r="T35" i="59"/>
  <c r="U35" i="59" s="1"/>
  <c r="Q36" i="59"/>
  <c r="R36" i="59" s="1"/>
  <c r="T45" i="59"/>
  <c r="U45" i="59" s="1"/>
  <c r="T56" i="59"/>
  <c r="U56" i="59" s="1"/>
  <c r="T65" i="59"/>
  <c r="U65" i="59" s="1"/>
  <c r="Q29" i="59"/>
  <c r="R29" i="59" s="1"/>
  <c r="H43" i="59"/>
  <c r="I43" i="59" s="1"/>
</calcChain>
</file>

<file path=xl/sharedStrings.xml><?xml version="1.0" encoding="utf-8"?>
<sst xmlns="http://schemas.openxmlformats.org/spreadsheetml/2006/main" count="477" uniqueCount="243">
  <si>
    <t>Sheet</t>
  </si>
  <si>
    <t>Description</t>
  </si>
  <si>
    <t>Status</t>
  </si>
  <si>
    <t>Objective</t>
  </si>
  <si>
    <t xml:space="preserve">Title </t>
  </si>
  <si>
    <t>Information</t>
  </si>
  <si>
    <t>Contents</t>
  </si>
  <si>
    <t>This contents sheet</t>
  </si>
  <si>
    <t>Yes</t>
  </si>
  <si>
    <t>Terms and conditions</t>
  </si>
  <si>
    <t>No</t>
  </si>
  <si>
    <t>Pathloss (dB)</t>
  </si>
  <si>
    <t>UL Original</t>
  </si>
  <si>
    <t>Macro</t>
  </si>
  <si>
    <t>Scale Plot?</t>
  </si>
  <si>
    <t>Plot Type</t>
  </si>
  <si>
    <t>Spectrum Scenario</t>
  </si>
  <si>
    <t>BS Type</t>
  </si>
  <si>
    <t>TDD Ratio</t>
  </si>
  <si>
    <t>Summary</t>
  </si>
  <si>
    <t>Plot Lines</t>
  </si>
  <si>
    <t>Uplink  configuration Settings</t>
  </si>
  <si>
    <t>SINR per layer (dB)</t>
  </si>
  <si>
    <t>DL 0.75 New</t>
  </si>
  <si>
    <t>e.g.</t>
  </si>
  <si>
    <t>Downlink configuration Settings</t>
  </si>
  <si>
    <t>Single carrier, 2 layers, scs 30 kHz, 100 MHz</t>
  </si>
  <si>
    <t>100 MHz TDD 2x2 SU-MIMO</t>
  </si>
  <si>
    <t>Scenario 5</t>
  </si>
  <si>
    <t>DL/UL ratio</t>
  </si>
  <si>
    <t>Dual carrier, 2 layers, scs 30 kHz, 50 + 50 MHz</t>
  </si>
  <si>
    <t xml:space="preserve">50 + 50 MHz 2x2 SU-MIMO </t>
  </si>
  <si>
    <t>Scenario 4</t>
  </si>
  <si>
    <t>Scale Power</t>
  </si>
  <si>
    <t>Dual carrier, 2 layers, scs 30 kHz, 20 + 70 MHz</t>
  </si>
  <si>
    <t xml:space="preserve">20 + 70 MHz TDD 2x2 SU-MIMO </t>
  </si>
  <si>
    <t>Scenario 3</t>
  </si>
  <si>
    <t xml:space="preserve">Single carrier, 2 layers, scs 30 kHz, 80 MHz </t>
  </si>
  <si>
    <t>80 MHz TDD 2x2 SU-MIMO</t>
  </si>
  <si>
    <t>Scenario 2</t>
  </si>
  <si>
    <t>Single carrier, 2 layers, scs 30 kHz, 40 MHz</t>
  </si>
  <si>
    <t>40 MHz TDD 2x2 SU-MIMO</t>
  </si>
  <si>
    <t>Scenario 1</t>
  </si>
  <si>
    <t>Parameter</t>
  </si>
  <si>
    <t>Scenario Description</t>
  </si>
  <si>
    <t>BW2 (MHz)</t>
  </si>
  <si>
    <t>BW1 (MHz)</t>
  </si>
  <si>
    <t>SCS (kHz)</t>
  </si>
  <si>
    <t>No. Layers</t>
  </si>
  <si>
    <t>Scenario</t>
  </si>
  <si>
    <t>Single carrier, 2 layers, scs 30 kHz, 80 MHz</t>
  </si>
  <si>
    <t xml:space="preserve">Single carrier, 2 layers, scs 30 kHz, 50 MHz </t>
  </si>
  <si>
    <t>50 MHz TDD 2x2 SU-MIMO</t>
  </si>
  <si>
    <t>UL New</t>
  </si>
  <si>
    <t xml:space="preserve">Single carrier, 4 layers, scs 30 kHz, 100 MHz </t>
  </si>
  <si>
    <t>100 MHz TDD 4x4 SU-MIMO</t>
  </si>
  <si>
    <t>Dual carrier, 4 layers, scs 30 kHz, 50 + 50 MHz</t>
  </si>
  <si>
    <t xml:space="preserve">50 + 50 MHz 4x4 SU-MIMO </t>
  </si>
  <si>
    <t>Dual carrier, 4 layers, scs 30 kHz, 20 + 70 MHz</t>
  </si>
  <si>
    <t xml:space="preserve">20 + 70 MHz TDD 4x4 SU-MIMO </t>
  </si>
  <si>
    <t xml:space="preserve">Single carrier, 2 layers, scs 30 kHz, 100 MHz </t>
  </si>
  <si>
    <t>Single carrier, 4 layers, scs 30 kHz, 40 MHz</t>
  </si>
  <si>
    <t>40 MHz TDD 4x4 SU-MIMO</t>
  </si>
  <si>
    <t>DL 0.75 Original</t>
  </si>
  <si>
    <t>Dual carrier, 4 layers, scs 30 kHz, 40 + 40 MHz</t>
  </si>
  <si>
    <t xml:space="preserve">40 + 40 MHz 4x4 SU-MIMO </t>
  </si>
  <si>
    <t>Single carrier, 4 layers, scs 30 kHz, 80 MHz</t>
  </si>
  <si>
    <t>80 MHz TDD 4x4 SU-MIMO</t>
  </si>
  <si>
    <t xml:space="preserve">Single carrier, 4 layers, scs 30 kHz, 50 MHz </t>
  </si>
  <si>
    <t>50 MHz TDD 4x4 SU-MIMO</t>
  </si>
  <si>
    <t>UL_alpha</t>
  </si>
  <si>
    <t>DL_alpha</t>
  </si>
  <si>
    <t>Alpha</t>
  </si>
  <si>
    <t>Shannon parameters</t>
  </si>
  <si>
    <t>UL_NormNoise</t>
  </si>
  <si>
    <t>DL_NormNoise</t>
  </si>
  <si>
    <t>UL_Rxgain</t>
  </si>
  <si>
    <t>DL_Rxgain</t>
  </si>
  <si>
    <t>Rx Antenna Gain (dBi)</t>
  </si>
  <si>
    <t>UL_NF</t>
  </si>
  <si>
    <t>DL_NF</t>
  </si>
  <si>
    <t>Noise Figure (dB)</t>
  </si>
  <si>
    <t>Mbps</t>
  </si>
  <si>
    <t>Uplink  Service</t>
  </si>
  <si>
    <t>UL_EIRP</t>
  </si>
  <si>
    <t>DL_EIRP</t>
  </si>
  <si>
    <t>EIRP per layer (dBm)</t>
  </si>
  <si>
    <t>BS gain (dBi)</t>
  </si>
  <si>
    <t>BS NF (dB)</t>
  </si>
  <si>
    <t>BS power (dBm/20 MHz)</t>
  </si>
  <si>
    <t>UL_NormLayers</t>
  </si>
  <si>
    <t>DL_NormLayers</t>
  </si>
  <si>
    <t>Normalise layers</t>
  </si>
  <si>
    <t>Small Indoor</t>
  </si>
  <si>
    <t>Micro</t>
  </si>
  <si>
    <t>UL_NormBW</t>
  </si>
  <si>
    <t>DL_NormBW</t>
  </si>
  <si>
    <t>Normalise BW (MHz)</t>
  </si>
  <si>
    <t>Base station</t>
  </si>
  <si>
    <t>Pathloss parameters</t>
  </si>
  <si>
    <t>Downlink Service</t>
  </si>
  <si>
    <t>UL_OH</t>
  </si>
  <si>
    <t>DL_OH</t>
  </si>
  <si>
    <t>thermal_noise</t>
  </si>
  <si>
    <t>f options</t>
  </si>
  <si>
    <t>UL_f</t>
  </si>
  <si>
    <t>DL_f</t>
  </si>
  <si>
    <t>f</t>
  </si>
  <si>
    <t>as CQI = 15</t>
  </si>
  <si>
    <t>UL_Rmax</t>
  </si>
  <si>
    <t>DL_Rmax</t>
  </si>
  <si>
    <t>Rmax</t>
  </si>
  <si>
    <t>Symbols</t>
  </si>
  <si>
    <t>Qm options</t>
  </si>
  <si>
    <t>UL_Qm</t>
  </si>
  <si>
    <t>DL_Qm</t>
  </si>
  <si>
    <t>Qm</t>
  </si>
  <si>
    <t>Subcarriers</t>
  </si>
  <si>
    <t>256QAM</t>
  </si>
  <si>
    <t>64QAM</t>
  </si>
  <si>
    <t>16QAM</t>
  </si>
  <si>
    <t>QPSK</t>
  </si>
  <si>
    <t>Uplink</t>
  </si>
  <si>
    <t>Downlink</t>
  </si>
  <si>
    <t>CA_Loss</t>
  </si>
  <si>
    <t>Carrier aggregation loss</t>
  </si>
  <si>
    <t>Throughput Parameters</t>
  </si>
  <si>
    <t>BS_type</t>
  </si>
  <si>
    <t>Base Station</t>
  </si>
  <si>
    <t>General Parameters</t>
  </si>
  <si>
    <t>NA</t>
  </si>
  <si>
    <t>N/A</t>
  </si>
  <si>
    <t>Sub carrier spacing (SCS) (kHz)</t>
  </si>
  <si>
    <t>table offset</t>
  </si>
  <si>
    <t>BW (MHz)</t>
  </si>
  <si>
    <t xml:space="preserve"> 3GPP  TS 38.101 Maximum Tx BW configuration NRB Table 5.3.2-1 </t>
  </si>
  <si>
    <t>Lookup Tables</t>
  </si>
  <si>
    <t>Spec Eff truncated (bit/Hz)</t>
  </si>
  <si>
    <t>Spec Efficiency per layer</t>
  </si>
  <si>
    <t>SINR (linear)</t>
  </si>
  <si>
    <t>X-axis (dB)</t>
  </si>
  <si>
    <t>Scenario description</t>
  </si>
  <si>
    <t>SINR scaling for Power/carriers</t>
  </si>
  <si>
    <t xml:space="preserve">spec Efficiency/ T-BW layer @100% (bps/Hz) </t>
  </si>
  <si>
    <t>Transmission BW (MHz)</t>
  </si>
  <si>
    <r>
      <t xml:space="preserve">Max_tput (Mbps) </t>
    </r>
    <r>
      <rPr>
        <i/>
        <sz val="12"/>
        <color rgb="FFFF0000"/>
        <rFont val="Calibri"/>
        <family val="2"/>
        <scheme val="minor"/>
      </rPr>
      <t>calc based on 5G NR throughput rate calc</t>
    </r>
  </si>
  <si>
    <r>
      <t>NRB2</t>
    </r>
    <r>
      <rPr>
        <i/>
        <sz val="12"/>
        <color rgb="FFFF0000"/>
        <rFont val="Calibri"/>
        <family val="2"/>
        <scheme val="minor"/>
      </rPr>
      <t xml:space="preserve"> (looked up from table above based on BW2, SCS hard coded)</t>
    </r>
  </si>
  <si>
    <r>
      <t>NRB1</t>
    </r>
    <r>
      <rPr>
        <i/>
        <sz val="12"/>
        <color rgb="FFFF0000"/>
        <rFont val="Calibri"/>
        <family val="2"/>
        <scheme val="minor"/>
      </rPr>
      <t xml:space="preserve"> (looked up from table above based on BW1, SCS hard coded)</t>
    </r>
  </si>
  <si>
    <r>
      <t xml:space="preserve">mu </t>
    </r>
    <r>
      <rPr>
        <i/>
        <sz val="12"/>
        <color rgb="FFFF0000"/>
        <rFont val="Calibri"/>
        <family val="2"/>
        <scheme val="minor"/>
      </rPr>
      <t>(factor for the throughput calc)</t>
    </r>
  </si>
  <si>
    <t>total carrier BW</t>
  </si>
  <si>
    <r>
      <rPr>
        <sz val="11"/>
        <rFont val="Calibri"/>
        <family val="2"/>
        <scheme val="minor"/>
      </rPr>
      <t xml:space="preserve">CA Scaling </t>
    </r>
    <r>
      <rPr>
        <i/>
        <sz val="12"/>
        <color rgb="FFFF0000"/>
        <rFont val="Calibri"/>
        <family val="2"/>
        <scheme val="minor"/>
      </rPr>
      <t>(reduce 6% if 2 carriers)</t>
    </r>
  </si>
  <si>
    <t>lookuptable offset</t>
  </si>
  <si>
    <t>DL_scenario_offset</t>
  </si>
  <si>
    <t>lookup offset</t>
  </si>
  <si>
    <t>Spectrum Scenarios</t>
  </si>
  <si>
    <t>Plot?</t>
  </si>
  <si>
    <t>Services</t>
  </si>
  <si>
    <t>DL_Plot</t>
  </si>
  <si>
    <t>Plot</t>
  </si>
  <si>
    <t>DL_scale</t>
  </si>
  <si>
    <t>Plot title</t>
  </si>
  <si>
    <t>DL_ratio</t>
  </si>
  <si>
    <t>change on Inputs sheet</t>
  </si>
  <si>
    <t>BS type</t>
  </si>
  <si>
    <t>SNR (linear)</t>
  </si>
  <si>
    <t>x-axis (dB)</t>
  </si>
  <si>
    <t>UL_scenario_offset</t>
  </si>
  <si>
    <t>UL_Plot</t>
  </si>
  <si>
    <t>UL_scale</t>
  </si>
  <si>
    <t>UL_ratio</t>
  </si>
  <si>
    <t>Note: total Res Elem from Max Tput is NRB*12/T = NRB*12*14*1000*2^mu</t>
  </si>
  <si>
    <t>out of range</t>
  </si>
  <si>
    <t>efficiency</t>
  </si>
  <si>
    <t>code rate x 1024</t>
  </si>
  <si>
    <t>modulation</t>
  </si>
  <si>
    <t>CQI index</t>
  </si>
  <si>
    <t>Table 5.2.2.1-2: 4-bit CQI Table (uplink</t>
  </si>
  <si>
    <t>- HARQ</t>
  </si>
  <si>
    <t>- Channel prediction</t>
  </si>
  <si>
    <t>- Link Adaptation (see table 1 for details of highest and lowest rate codes)</t>
  </si>
  <si>
    <t>- Typical Urban fast fading channel model (10kmph DL, 3kmph UL)</t>
  </si>
  <si>
    <t>- 1:2 antenna configurations</t>
  </si>
  <si>
    <t>Alpha set based on:</t>
  </si>
  <si>
    <r>
      <t>SINR</t>
    </r>
    <r>
      <rPr>
        <i/>
        <vertAlign val="subscript"/>
        <sz val="11"/>
        <color rgb="FF404040"/>
        <rFont val="Calibri"/>
        <family val="2"/>
        <scheme val="minor"/>
      </rPr>
      <t>max</t>
    </r>
    <r>
      <rPr>
        <sz val="11"/>
        <color rgb="FF404040"/>
        <rFont val="Calibri"/>
        <family val="2"/>
        <scheme val="minor"/>
      </rPr>
      <t xml:space="preserve"> SINR at which max throughput is reached S</t>
    </r>
    <r>
      <rPr>
        <vertAlign val="superscript"/>
        <sz val="11"/>
        <color rgb="FF404040"/>
        <rFont val="Calibri"/>
        <family val="2"/>
        <scheme val="minor"/>
      </rPr>
      <t xml:space="preserve">-1 </t>
    </r>
    <r>
      <rPr>
        <sz val="11"/>
        <color rgb="FF404040"/>
        <rFont val="Calibri"/>
        <family val="2"/>
        <scheme val="minor"/>
      </rPr>
      <t>(Thr</t>
    </r>
    <r>
      <rPr>
        <vertAlign val="subscript"/>
        <sz val="11"/>
        <color rgb="FF404040"/>
        <rFont val="Calibri"/>
        <family val="2"/>
        <scheme val="minor"/>
      </rPr>
      <t>max</t>
    </r>
    <r>
      <rPr>
        <sz val="11"/>
        <color rgb="FF404040"/>
        <rFont val="Calibri"/>
        <family val="2"/>
        <scheme val="minor"/>
      </rPr>
      <t>) (dB)</t>
    </r>
  </si>
  <si>
    <r>
      <t>Thr</t>
    </r>
    <r>
      <rPr>
        <i/>
        <vertAlign val="subscript"/>
        <sz val="11"/>
        <color rgb="FF404040"/>
        <rFont val="Calibri"/>
        <family val="2"/>
        <scheme val="minor"/>
      </rPr>
      <t>max</t>
    </r>
    <r>
      <rPr>
        <i/>
        <sz val="11"/>
        <color rgb="FF404040"/>
        <rFont val="Calibri"/>
        <family val="2"/>
        <scheme val="minor"/>
      </rPr>
      <t xml:space="preserve">  </t>
    </r>
    <r>
      <rPr>
        <sz val="11"/>
        <color rgb="FF404040"/>
        <rFont val="Calibri"/>
        <family val="2"/>
        <scheme val="minor"/>
      </rPr>
      <t>is the maximum throughput of the codeset (bps/Hz) and</t>
    </r>
  </si>
  <si>
    <r>
      <t>SINR</t>
    </r>
    <r>
      <rPr>
        <i/>
        <vertAlign val="subscript"/>
        <sz val="11"/>
        <color rgb="FF404040"/>
        <rFont val="Calibri"/>
        <family val="2"/>
        <scheme val="minor"/>
      </rPr>
      <t>min</t>
    </r>
    <r>
      <rPr>
        <sz val="11"/>
        <color rgb="FF404040"/>
        <rFont val="Calibri"/>
        <family val="2"/>
        <scheme val="minor"/>
      </rPr>
      <t xml:space="preserve">  is the minimum SINR of the codeset (dB),</t>
    </r>
  </si>
  <si>
    <t>is the attenuation factor, representing implementation losses,</t>
  </si>
  <si>
    <t>a</t>
  </si>
  <si>
    <r>
      <t>S(SINR)</t>
    </r>
    <r>
      <rPr>
        <sz val="11"/>
        <color rgb="FF404040"/>
        <rFont val="Calibri"/>
        <family val="2"/>
        <scheme val="minor"/>
      </rPr>
      <t xml:space="preserve"> is the Shannon bound: </t>
    </r>
    <r>
      <rPr>
        <i/>
        <sz val="11"/>
        <color rgb="FF404040"/>
        <rFont val="Calibri"/>
        <family val="2"/>
        <scheme val="minor"/>
      </rPr>
      <t>S(SINR)</t>
    </r>
    <r>
      <rPr>
        <sz val="11"/>
        <color rgb="FF404040"/>
        <rFont val="Calibri"/>
        <family val="2"/>
        <scheme val="minor"/>
      </rPr>
      <t xml:space="preserve"> = log</t>
    </r>
    <r>
      <rPr>
        <vertAlign val="subscript"/>
        <sz val="11"/>
        <color rgb="FF404040"/>
        <rFont val="Calibri"/>
        <family val="2"/>
        <scheme val="minor"/>
      </rPr>
      <t>2</t>
    </r>
    <r>
      <rPr>
        <sz val="11"/>
        <color rgb="FF404040"/>
        <rFont val="Calibri"/>
        <family val="2"/>
        <scheme val="minor"/>
      </rPr>
      <t>(1+</t>
    </r>
    <r>
      <rPr>
        <i/>
        <sz val="11"/>
        <color rgb="FF404040"/>
        <rFont val="Calibri"/>
        <family val="2"/>
        <scheme val="minor"/>
      </rPr>
      <t>SINR</t>
    </r>
    <r>
      <rPr>
        <sz val="11"/>
        <color rgb="FF404040"/>
        <rFont val="Calibri"/>
        <family val="2"/>
        <scheme val="minor"/>
      </rPr>
      <t>) (bps/Hz) and:</t>
    </r>
  </si>
  <si>
    <t>Where:</t>
  </si>
  <si>
    <t>Table 5.2.2.1-3: 4-bit CQI Table 2 (downlink</t>
  </si>
  <si>
    <t>5g NR Max Throughput calculations</t>
  </si>
  <si>
    <t>Link level performance Model (Truncated Shannon capacity)</t>
  </si>
  <si>
    <t>Sources</t>
  </si>
  <si>
    <t>Inputs</t>
  </si>
  <si>
    <t>Calculation sheet for Downlink throughput calculations</t>
  </si>
  <si>
    <t>Calculation sheet for Uplink throughput calculations</t>
  </si>
  <si>
    <t>UL linkLevel</t>
  </si>
  <si>
    <t>DL linkLevel</t>
  </si>
  <si>
    <t>thermal noise (dBm/MHz)</t>
  </si>
  <si>
    <t>MU (numerology)</t>
  </si>
  <si>
    <t>Number Subcarriersper Res Element</t>
  </si>
  <si>
    <t>Number Symbols per Res Element</t>
  </si>
  <si>
    <t>Overhead</t>
  </si>
  <si>
    <t>Input Parameters</t>
  </si>
  <si>
    <t>Max Device Power dBm)</t>
  </si>
  <si>
    <r>
      <t>NRB1</t>
    </r>
    <r>
      <rPr>
        <i/>
        <sz val="12"/>
        <color rgb="FFFF0000"/>
        <rFont val="Calibri"/>
        <family val="2"/>
        <scheme val="minor"/>
      </rPr>
      <t xml:space="preserve"> (looked up from table  based on BW1, SCS hard coded)</t>
    </r>
  </si>
  <si>
    <t>Downlink Link Level Throughput Calculations</t>
  </si>
  <si>
    <t>Service Lines</t>
  </si>
  <si>
    <t>Uplink Link Level Throughput Calculations</t>
  </si>
  <si>
    <t>Plot configurations check</t>
  </si>
  <si>
    <t>Plot configurations Settings for checks</t>
  </si>
  <si>
    <t>e.g</t>
  </si>
  <si>
    <t>Mobile broadband live video</t>
  </si>
  <si>
    <t>Professional mobile video 4K 2D</t>
  </si>
  <si>
    <t>Professional mobile video 8K 2D; Cloud VR 2K@90fps</t>
  </si>
  <si>
    <t>Cloud VR 720p@30fps</t>
  </si>
  <si>
    <t>Mobile broadband live video; Cloud computer games for connected vehicles with 4K 3D graphics</t>
  </si>
  <si>
    <t>Industrial control</t>
  </si>
  <si>
    <t>Connectivity for drones</t>
  </si>
  <si>
    <t>Cloud computer games for connected vehicles with 4K 3D graphics; Professional mobile video 4K 3D; Cloud VR 1018p@60fps</t>
  </si>
  <si>
    <t xml:space="preserve">DL 0.75 New - SINR </t>
  </si>
  <si>
    <t>UL 0.25 New  - SINR</t>
  </si>
  <si>
    <t>UL 0.50 New  - SINR</t>
  </si>
  <si>
    <t>UL 0.25 New  - Pathloss (scales)</t>
  </si>
  <si>
    <t>UL 0.25 Origional  - SINR</t>
  </si>
  <si>
    <t xml:space="preserve">DL 0.75 Original - SINR </t>
  </si>
  <si>
    <t>3GPP TS 36.942 Table A.1</t>
  </si>
  <si>
    <t xml:space="preserve">Taken from Annex A to 3gpp TR 36.942 </t>
  </si>
  <si>
    <t>Taken from  §4.1.2 in 3GPP TS 38.306</t>
  </si>
  <si>
    <t>explanation of selection provided in Annex 2 of Consultation and summarised in Table A5</t>
  </si>
  <si>
    <t>From 3GPP TS 38.306 V16.0.0 (2020-03)</t>
  </si>
  <si>
    <t>From Ofcom Licence template</t>
  </si>
  <si>
    <t>3gpp TR 36.942 Annex A</t>
  </si>
  <si>
    <t>Table 13 of ECC Report 287</t>
  </si>
  <si>
    <t>All parameters are described in detail in Annex 2 of the associated consultation</t>
  </si>
  <si>
    <t>Equation 14.6, §14.4, “LTE for UMTS: Evolution to LTE-Advanced”, Harri Holma and Antti Toskala, Wiley, Second edition, 2011.</t>
  </si>
  <si>
    <t>Single User Throughput in 5G NR</t>
  </si>
  <si>
    <t>The terms and conditions on which OFCOM is making available the model are set out below.
The SUT model provided has been developed to calculate the single user throughput for different spectrum scenarios and compare against differentservice throughput requirements.
All right, title and interest in the provided model (the ‘Model’) constructed in Excel to calculate SUT are owned by OFCOM. Such title and interest is protected by United Kingdom intellectual property laws and international treaty provisions. While you may freely use the Model for the purposes for which it is provided, as set out in the accompanying model documentation, it is not to be modified in any way or used for commercial gain or otherwise without the prior written permission of OFCOM.
No representation or warranty is given as to the accuracy, completeness or correctness of the provided Model and it is provided 'as is'. It is provided without any representation or endorsement made and without warranty of any kind, whether express or implied, including but not limited to the implied warranties of satisfactory quality, fitness for a particular purpose, non-infringement, compatibility, security and accuracy.
OFCOM does not accept any responsibility for any loss, disruption or damage to your data or your computer system which may occur whilst using the Model or material derived from the Model. OFCOM does not warrant that the functions contained in the Model will be uninterrupted or error free. Also, OFCOM does not warrant that defects will be corrected, or that the Model provided is free of viruses.
In no event will OFCOM be liable for any loss or damage including, without limitation, indirect or consequential loss or damage, or any loss or damages whatsoever arising from use or loss of use of, data or profits arising out of or in connection with the use or otherwise of the provided Model. By using this Model, you agree to the above.</t>
  </si>
  <si>
    <t>Approved for release</t>
  </si>
  <si>
    <t>Input parameters used in calculation sheets</t>
  </si>
  <si>
    <t>To compare throughput for different spectrum options</t>
  </si>
  <si>
    <t>Sources of equations and parameters taken from 3gpp references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</si>
</sst>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_);[Red]\-#,##0_);0_);@_)"/>
    <numFmt numFmtId="165" formatCode="&quot;Rnd&quot;* &quot;[&quot;General&quot;]&quot;;&quot;Rnd&quot;* &quot;[&quot;\-General&quot;]&quot;"/>
    <numFmt numFmtId="166" formatCode="0.0"/>
    <numFmt numFmtId="167" formatCode="0.000"/>
    <numFmt numFmtId="168" formatCode="0.0000"/>
  </numFmts>
  <fonts count="42" x14ac:knownFonts="1">
    <font>
      <sz val="11"/>
      <name val="Calibri"/>
      <family val="2"/>
      <scheme val="minor"/>
    </font>
    <font>
      <sz val="9"/>
      <name val="Arial"/>
      <family val="2"/>
    </font>
    <font>
      <b/>
      <sz val="9"/>
      <name val="Arial"/>
      <family val="2"/>
    </font>
    <font>
      <b/>
      <sz val="22"/>
      <name val="Arial"/>
      <family val="2"/>
    </font>
    <font>
      <sz val="8"/>
      <name val="Arial"/>
      <family val="2"/>
    </font>
    <font>
      <sz val="9"/>
      <name val="Verdana"/>
      <family val="2"/>
    </font>
    <font>
      <sz val="24"/>
      <color rgb="FFCC0044"/>
      <name val="Calibri"/>
      <family val="2"/>
      <scheme val="major"/>
    </font>
    <font>
      <b/>
      <sz val="16"/>
      <color rgb="FFCC0044"/>
      <name val="Calibri"/>
      <family val="2"/>
      <scheme val="major"/>
    </font>
    <font>
      <b/>
      <sz val="14"/>
      <color rgb="FF404040"/>
      <name val="Calibri"/>
      <family val="2"/>
      <scheme val="major"/>
    </font>
    <font>
      <b/>
      <sz val="11"/>
      <color rgb="FF642566"/>
      <name val="Calibri"/>
      <family val="2"/>
      <scheme val="major"/>
    </font>
    <font>
      <b/>
      <sz val="24"/>
      <color rgb="FFCC0044"/>
      <name val="Calibri"/>
      <family val="2"/>
      <scheme val="major"/>
    </font>
    <font>
      <sz val="11"/>
      <color rgb="FF000000"/>
      <name val="Calibri"/>
      <family val="2"/>
      <scheme val="minor"/>
    </font>
    <font>
      <b/>
      <sz val="11"/>
      <color rgb="FFFFFFFF"/>
      <name val="Calibri"/>
      <family val="2"/>
      <scheme val="minor"/>
    </font>
    <font>
      <sz val="11"/>
      <color rgb="FF969696"/>
      <name val="Calibri"/>
      <family val="2"/>
      <scheme val="minor"/>
    </font>
    <font>
      <sz val="11"/>
      <color rgb="FF0000FF"/>
      <name val="Calibri"/>
      <family val="2"/>
      <scheme val="minor"/>
    </font>
    <font>
      <sz val="11"/>
      <color theme="0" tint="-0.14996795556505021"/>
      <name val="Calibri"/>
      <family val="2"/>
      <scheme val="minor"/>
    </font>
    <font>
      <i/>
      <sz val="11"/>
      <color rgb="FFC00000"/>
      <name val="Calibri"/>
      <family val="2"/>
      <scheme val="minor"/>
    </font>
    <font>
      <sz val="11"/>
      <name val="Calibri"/>
      <family val="2"/>
      <scheme val="minor"/>
    </font>
    <font>
      <sz val="10"/>
      <color indexed="10"/>
      <name val="Calibri"/>
      <family val="2"/>
      <scheme val="minor"/>
    </font>
    <font>
      <sz val="12"/>
      <color theme="1"/>
      <name val="Calibri"/>
      <family val="2"/>
      <scheme val="minor"/>
    </font>
    <font>
      <sz val="10"/>
      <color theme="1"/>
      <name val="Calibri"/>
      <family val="2"/>
      <scheme val="minor"/>
    </font>
    <font>
      <b/>
      <sz val="12"/>
      <color theme="1"/>
      <name val="Calibri"/>
      <family val="2"/>
      <scheme val="minor"/>
    </font>
    <font>
      <i/>
      <sz val="12"/>
      <color rgb="FFFF0000"/>
      <name val="Calibri"/>
      <family val="2"/>
      <scheme val="minor"/>
    </font>
    <font>
      <i/>
      <sz val="12"/>
      <color theme="1"/>
      <name val="Calibri"/>
      <family val="2"/>
      <scheme val="minor"/>
    </font>
    <font>
      <b/>
      <sz val="9"/>
      <color theme="1"/>
      <name val="Arial"/>
      <family val="2"/>
    </font>
    <font>
      <i/>
      <sz val="9"/>
      <color rgb="FFFF0000"/>
      <name val="Arial"/>
      <family val="2"/>
    </font>
    <font>
      <i/>
      <sz val="11"/>
      <color rgb="FFFF0000"/>
      <name val="Calibri"/>
      <family val="2"/>
      <scheme val="minor"/>
    </font>
    <font>
      <sz val="11"/>
      <color rgb="FF404040"/>
      <name val="Calibri"/>
      <family val="2"/>
      <scheme val="minor"/>
    </font>
    <font>
      <sz val="9"/>
      <color rgb="FF000000"/>
      <name val="Arial"/>
      <family val="2"/>
    </font>
    <font>
      <b/>
      <sz val="9"/>
      <color rgb="FF000000"/>
      <name val="Arial"/>
      <family val="2"/>
    </font>
    <font>
      <b/>
      <sz val="10"/>
      <color rgb="FF000000"/>
      <name val="Arial"/>
      <family val="2"/>
    </font>
    <font>
      <i/>
      <sz val="11"/>
      <color rgb="FF404040"/>
      <name val="Calibri"/>
      <family val="2"/>
      <scheme val="minor"/>
    </font>
    <font>
      <sz val="9"/>
      <color rgb="FF000000"/>
      <name val="Times New Roman"/>
      <family val="1"/>
    </font>
    <font>
      <i/>
      <vertAlign val="subscript"/>
      <sz val="11"/>
      <color rgb="FF404040"/>
      <name val="Calibri"/>
      <family val="2"/>
      <scheme val="minor"/>
    </font>
    <font>
      <vertAlign val="superscript"/>
      <sz val="11"/>
      <color rgb="FF404040"/>
      <name val="Calibri"/>
      <family val="2"/>
      <scheme val="minor"/>
    </font>
    <font>
      <vertAlign val="subscript"/>
      <sz val="11"/>
      <color rgb="FF404040"/>
      <name val="Calibri"/>
      <family val="2"/>
      <scheme val="minor"/>
    </font>
    <font>
      <sz val="12"/>
      <color rgb="FFFF0000"/>
      <name val="Calibri"/>
      <family val="2"/>
      <scheme val="minor"/>
    </font>
    <font>
      <i/>
      <sz val="11"/>
      <color rgb="FF404040"/>
      <name val="Symbol"/>
      <family val="1"/>
      <charset val="2"/>
    </font>
    <font>
      <sz val="10"/>
      <color rgb="FF000000"/>
      <name val="Times New Roman"/>
      <family val="1"/>
    </font>
    <font>
      <sz val="8"/>
      <name val="Calibri"/>
      <family val="2"/>
      <scheme val="minor"/>
    </font>
    <font>
      <b/>
      <sz val="11"/>
      <name val="Calibri"/>
      <family val="2"/>
      <scheme val="minor"/>
    </font>
    <font>
      <b/>
      <sz val="16"/>
      <color theme="1"/>
      <name val="Calibri"/>
      <family val="2"/>
      <scheme val="minor"/>
    </font>
  </fonts>
  <fills count="17">
    <fill>
      <patternFill patternType="none"/>
    </fill>
    <fill>
      <patternFill patternType="gray125"/>
    </fill>
    <fill>
      <patternFill patternType="solid">
        <fgColor indexed="13"/>
        <bgColor indexed="64"/>
      </patternFill>
    </fill>
    <fill>
      <patternFill patternType="solid">
        <fgColor indexed="51"/>
        <bgColor indexed="64"/>
      </patternFill>
    </fill>
    <fill>
      <patternFill patternType="solid">
        <fgColor rgb="FF00FFFF"/>
        <bgColor indexed="64"/>
      </patternFill>
    </fill>
    <fill>
      <gradientFill degree="45">
        <stop position="0">
          <color rgb="FFF7941D"/>
        </stop>
        <stop position="0.5">
          <color rgb="FFFFF200"/>
        </stop>
        <stop position="1">
          <color rgb="FFF7941D"/>
        </stop>
      </gradientFill>
    </fill>
    <fill>
      <patternFill patternType="solid">
        <fgColor rgb="FFFFF296"/>
        <bgColor indexed="64"/>
      </patternFill>
    </fill>
    <fill>
      <patternFill patternType="solid">
        <fgColor rgb="FFEAC8EA"/>
        <bgColor indexed="64"/>
      </patternFill>
    </fill>
    <fill>
      <patternFill patternType="solid">
        <fgColor rgb="FFFF0000"/>
        <bgColor indexed="64"/>
      </patternFill>
    </fill>
    <fill>
      <patternFill patternType="solid">
        <fgColor theme="0" tint="-0.14999847407452621"/>
        <bgColor indexed="64"/>
      </patternFill>
    </fill>
    <fill>
      <patternFill patternType="solid">
        <fgColor rgb="FFDAEEF3"/>
        <bgColor indexed="64"/>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E0E0E0"/>
        <bgColor indexed="64"/>
      </patternFill>
    </fill>
    <fill>
      <patternFill patternType="solid">
        <fgColor theme="7" tint="0.79998168889431442"/>
        <bgColor indexed="64"/>
      </patternFill>
    </fill>
    <fill>
      <patternFill patternType="solid">
        <fgColor rgb="FFCC0044"/>
        <bgColor indexed="64"/>
      </patternFill>
    </fill>
  </fills>
  <borders count="44">
    <border>
      <left/>
      <right/>
      <top/>
      <bottom/>
      <diagonal/>
    </border>
    <border>
      <left style="mediumDashed">
        <color rgb="FFC90044"/>
      </left>
      <right style="mediumDashed">
        <color rgb="FFC90044"/>
      </right>
      <top style="mediumDashed">
        <color rgb="FFC90044"/>
      </top>
      <bottom style="mediumDashed">
        <color rgb="FFC90044"/>
      </bottom>
      <diagonal/>
    </border>
    <border>
      <left style="medium">
        <color theme="0" tint="-0.14999847407452621"/>
      </left>
      <right style="medium">
        <color theme="0" tint="-0.14999847407452621"/>
      </right>
      <top style="medium">
        <color theme="0" tint="-0.14999847407452621"/>
      </top>
      <bottom style="medium">
        <color theme="0" tint="-0.14999847407452621"/>
      </bottom>
      <diagonal/>
    </border>
    <border>
      <left style="hair">
        <color rgb="FFC00000"/>
      </left>
      <right style="hair">
        <color rgb="FFC00000"/>
      </right>
      <top style="hair">
        <color rgb="FFC00000"/>
      </top>
      <bottom/>
      <diagonal/>
    </border>
    <border>
      <left style="hair">
        <color rgb="FFC00000"/>
      </left>
      <right style="hair">
        <color rgb="FFC00000"/>
      </right>
      <top/>
      <bottom style="hair">
        <color rgb="FFC00000"/>
      </bottom>
      <diagonal/>
    </border>
    <border>
      <left style="hair">
        <color rgb="FFC00000"/>
      </left>
      <right style="hair">
        <color rgb="FFC00000"/>
      </right>
      <top style="hair">
        <color rgb="FFC00000"/>
      </top>
      <bottom style="hair">
        <color rgb="FFC00000"/>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right/>
      <top style="medium">
        <color indexed="64"/>
      </top>
      <bottom style="medium">
        <color indexed="64"/>
      </bottom>
      <diagonal/>
    </border>
    <border>
      <left/>
      <right style="medium">
        <color indexed="64"/>
      </right>
      <top/>
      <bottom style="double">
        <color indexed="64"/>
      </bottom>
      <diagonal/>
    </border>
    <border>
      <left style="medium">
        <color indexed="64"/>
      </left>
      <right style="medium">
        <color indexed="64"/>
      </right>
      <top/>
      <bottom style="double">
        <color indexed="64"/>
      </bottom>
      <diagonal/>
    </border>
    <border>
      <left/>
      <right style="medium">
        <color indexed="64"/>
      </right>
      <top style="double">
        <color indexed="64"/>
      </top>
      <bottom style="medium">
        <color indexed="64"/>
      </bottom>
      <diagonal/>
    </border>
    <border>
      <left/>
      <right/>
      <top style="double">
        <color indexed="64"/>
      </top>
      <bottom style="medium">
        <color indexed="64"/>
      </bottom>
      <diagonal/>
    </border>
    <border>
      <left style="medium">
        <color indexed="64"/>
      </left>
      <right/>
      <top style="double">
        <color indexed="64"/>
      </top>
      <bottom style="medium">
        <color indexed="64"/>
      </bottom>
      <diagonal/>
    </border>
    <border>
      <left/>
      <right style="medium">
        <color indexed="64"/>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style="thin">
        <color indexed="64"/>
      </left>
      <right/>
      <top/>
      <bottom/>
      <diagonal/>
    </border>
    <border>
      <left style="medium">
        <color theme="0" tint="-0.14999847407452621"/>
      </left>
      <right style="medium">
        <color theme="0" tint="-0.14999847407452621"/>
      </right>
      <top style="medium">
        <color theme="0" tint="-0.14999847407452621"/>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theme="0" tint="-0.14999847407452621"/>
      </left>
      <right/>
      <top style="medium">
        <color theme="0" tint="-0.14999847407452621"/>
      </top>
      <bottom style="medium">
        <color theme="0" tint="-0.14999847407452621"/>
      </bottom>
      <diagonal/>
    </border>
    <border>
      <left style="medium">
        <color indexed="64"/>
      </left>
      <right style="medium">
        <color theme="0" tint="-0.14999847407452621"/>
      </right>
      <top style="medium">
        <color theme="0" tint="-0.14999847407452621"/>
      </top>
      <bottom style="medium">
        <color theme="0" tint="-0.14999847407452621"/>
      </bottom>
      <diagonal/>
    </border>
    <border>
      <left style="medium">
        <color indexed="64"/>
      </left>
      <right style="medium">
        <color theme="0" tint="-0.14999847407452621"/>
      </right>
      <top style="medium">
        <color theme="0" tint="-0.14999847407452621"/>
      </top>
      <bottom style="medium">
        <color indexed="64"/>
      </bottom>
      <diagonal/>
    </border>
    <border>
      <left style="medium">
        <color theme="0" tint="-0.14999847407452621"/>
      </left>
      <right style="medium">
        <color theme="0" tint="-0.14999847407452621"/>
      </right>
      <top style="medium">
        <color theme="0" tint="-0.14999847407452621"/>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30">
    <xf numFmtId="0" fontId="0" fillId="0" borderId="0">
      <alignment vertical="center"/>
    </xf>
    <xf numFmtId="0" fontId="1" fillId="0" borderId="0" applyNumberFormat="0" applyAlignment="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horizontal="left" vertical="center"/>
    </xf>
    <xf numFmtId="0" fontId="9" fillId="0" borderId="0" applyNumberFormat="0" applyFill="0" applyBorder="0" applyAlignment="0" applyProtection="0">
      <alignment vertical="center"/>
    </xf>
    <xf numFmtId="0" fontId="1" fillId="2" borderId="0" applyNumberFormat="0" applyFont="0" applyBorder="0" applyAlignment="0" applyProtection="0">
      <alignment vertical="center"/>
    </xf>
    <xf numFmtId="0" fontId="16" fillId="0" borderId="0" applyNumberFormat="0" applyAlignment="0" applyProtection="0">
      <alignment vertical="center"/>
    </xf>
    <xf numFmtId="0" fontId="4" fillId="0" borderId="0" applyNumberFormat="0" applyFill="0" applyBorder="0" applyAlignment="0" applyProtection="0">
      <alignment vertical="center"/>
    </xf>
    <xf numFmtId="0" fontId="1" fillId="3" borderId="0" applyNumberFormat="0" applyFont="0" applyBorder="0" applyAlignment="0" applyProtection="0">
      <alignment vertical="center"/>
    </xf>
    <xf numFmtId="164" fontId="2" fillId="0" borderId="0" applyNumberFormat="0" applyFill="0" applyBorder="0" applyAlignment="0" applyProtection="0">
      <alignment vertical="center"/>
    </xf>
    <xf numFmtId="0" fontId="17" fillId="0" borderId="0" applyProtection="0">
      <alignment vertical="center"/>
    </xf>
    <xf numFmtId="0" fontId="1" fillId="4" borderId="0" applyNumberFormat="0" applyFont="0" applyBorder="0" applyAlignment="0" applyProtection="0">
      <alignment vertical="center"/>
    </xf>
    <xf numFmtId="0" fontId="14" fillId="5" borderId="1" applyNumberFormat="0" applyAlignment="0" applyProtection="0">
      <alignment vertical="center"/>
    </xf>
    <xf numFmtId="0" fontId="14" fillId="6" borderId="0" applyNumberFormat="0" applyAlignment="0" applyProtection="0">
      <alignment vertical="center"/>
      <protection locked="0"/>
    </xf>
    <xf numFmtId="0" fontId="11" fillId="10" borderId="0" applyNumberFormat="0" applyAlignment="0" applyProtection="0">
      <alignment vertical="center"/>
    </xf>
    <xf numFmtId="0" fontId="14" fillId="10" borderId="0" applyNumberFormat="0" applyAlignment="0" applyProtection="0">
      <alignment vertical="center"/>
    </xf>
    <xf numFmtId="0" fontId="13" fillId="0" borderId="0" applyNumberFormat="0" applyAlignment="0" applyProtection="0">
      <alignment vertical="center"/>
    </xf>
    <xf numFmtId="0" fontId="12" fillId="8" borderId="0" applyNumberFormat="0" applyAlignment="0" applyProtection="0">
      <alignment vertical="center"/>
    </xf>
    <xf numFmtId="0" fontId="18" fillId="0" borderId="0" applyNumberFormat="0" applyAlignment="0" applyProtection="0">
      <alignment vertical="center"/>
    </xf>
    <xf numFmtId="0" fontId="15" fillId="0" borderId="0" applyNumberFormat="0" applyAlignment="0" applyProtection="0">
      <alignment vertical="center"/>
    </xf>
    <xf numFmtId="0" fontId="1" fillId="9" borderId="0" applyNumberFormat="0" applyFont="0" applyBorder="0" applyAlignment="0" applyProtection="0">
      <alignment vertical="center"/>
    </xf>
    <xf numFmtId="0" fontId="17" fillId="0" borderId="5" applyNumberFormat="0" applyAlignment="0" applyProtection="0">
      <alignment vertical="center"/>
      <protection locked="0"/>
    </xf>
    <xf numFmtId="0" fontId="11" fillId="6" borderId="0" applyNumberFormat="0" applyAlignment="0" applyProtection="0">
      <alignment vertical="center"/>
    </xf>
    <xf numFmtId="0" fontId="11" fillId="0" borderId="2" applyNumberFormat="0" applyAlignment="0" applyProtection="0">
      <alignment vertical="center"/>
    </xf>
    <xf numFmtId="0" fontId="11" fillId="7" borderId="0" applyNumberFormat="0" applyAlignment="0" applyProtection="0">
      <alignment vertical="center"/>
    </xf>
    <xf numFmtId="165" fontId="14" fillId="5" borderId="1" applyAlignment="0" applyProtection="0">
      <alignment vertical="center"/>
    </xf>
    <xf numFmtId="9" fontId="17" fillId="0" borderId="0" applyFont="0" applyFill="0" applyBorder="0" applyAlignment="0" applyProtection="0"/>
    <xf numFmtId="0" fontId="19" fillId="0" borderId="0"/>
    <xf numFmtId="9" fontId="19" fillId="0" borderId="0" applyFont="0" applyFill="0" applyBorder="0" applyAlignment="0" applyProtection="0"/>
  </cellStyleXfs>
  <cellXfs count="189">
    <xf numFmtId="0" fontId="0" fillId="0" borderId="0" xfId="0">
      <alignment vertical="center"/>
    </xf>
    <xf numFmtId="0" fontId="8" fillId="0" borderId="0" xfId="4" applyAlignment="1"/>
    <xf numFmtId="0" fontId="8" fillId="0" borderId="0" xfId="4" applyAlignment="1">
      <alignment vertical="center"/>
    </xf>
    <xf numFmtId="0" fontId="7" fillId="0" borderId="0" xfId="3" applyFill="1" applyAlignment="1">
      <alignment horizontal="left"/>
    </xf>
    <xf numFmtId="0" fontId="5" fillId="0" borderId="0" xfId="0" applyFont="1">
      <alignment vertical="center"/>
    </xf>
    <xf numFmtId="0" fontId="2" fillId="0" borderId="0" xfId="0" applyFont="1">
      <alignment vertical="center"/>
    </xf>
    <xf numFmtId="0" fontId="3" fillId="0" borderId="0" xfId="0" applyFont="1" applyAlignment="1"/>
    <xf numFmtId="0" fontId="18" fillId="0" borderId="0" xfId="19">
      <alignment vertical="center"/>
    </xf>
    <xf numFmtId="0" fontId="10" fillId="0" borderId="0" xfId="0" applyFont="1">
      <alignment vertical="center"/>
    </xf>
    <xf numFmtId="0" fontId="6" fillId="0" borderId="0" xfId="2" applyAlignment="1">
      <alignment horizontal="right"/>
    </xf>
    <xf numFmtId="0" fontId="7" fillId="0" borderId="0" xfId="3" applyAlignment="1">
      <alignment vertical="center"/>
    </xf>
    <xf numFmtId="0" fontId="19" fillId="0" borderId="0" xfId="28"/>
    <xf numFmtId="0" fontId="19" fillId="0" borderId="6" xfId="28" applyBorder="1"/>
    <xf numFmtId="0" fontId="19" fillId="0" borderId="7" xfId="28" applyBorder="1"/>
    <xf numFmtId="0" fontId="19" fillId="0" borderId="8" xfId="28" applyBorder="1"/>
    <xf numFmtId="0" fontId="19" fillId="0" borderId="9" xfId="28" applyBorder="1"/>
    <xf numFmtId="0" fontId="19" fillId="0" borderId="10" xfId="28" applyBorder="1"/>
    <xf numFmtId="0" fontId="20" fillId="0" borderId="13" xfId="28" applyFont="1" applyBorder="1" applyAlignment="1">
      <alignment wrapText="1"/>
    </xf>
    <xf numFmtId="0" fontId="20" fillId="0" borderId="14" xfId="28" applyFont="1" applyBorder="1" applyAlignment="1">
      <alignment wrapText="1"/>
    </xf>
    <xf numFmtId="0" fontId="21" fillId="0" borderId="14" xfId="28" applyFont="1" applyBorder="1"/>
    <xf numFmtId="0" fontId="21" fillId="0" borderId="15" xfId="28" applyFont="1" applyBorder="1"/>
    <xf numFmtId="0" fontId="21" fillId="0" borderId="0" xfId="28" applyFont="1"/>
    <xf numFmtId="0" fontId="22" fillId="11" borderId="0" xfId="28" applyFont="1" applyFill="1"/>
    <xf numFmtId="0" fontId="23" fillId="11" borderId="0" xfId="28" applyFont="1" applyFill="1"/>
    <xf numFmtId="0" fontId="24" fillId="0" borderId="11" xfId="28" applyFont="1" applyBorder="1" applyAlignment="1">
      <alignment horizontal="center" vertical="center"/>
    </xf>
    <xf numFmtId="0" fontId="21" fillId="11" borderId="0" xfId="28" applyFont="1" applyFill="1"/>
    <xf numFmtId="0" fontId="21" fillId="12" borderId="0" xfId="28" applyFont="1" applyFill="1"/>
    <xf numFmtId="0" fontId="19" fillId="13" borderId="0" xfId="28" applyFill="1"/>
    <xf numFmtId="0" fontId="25" fillId="11" borderId="0" xfId="28" applyFont="1" applyFill="1" applyAlignment="1">
      <alignment horizontal="left" vertical="center"/>
    </xf>
    <xf numFmtId="0" fontId="19" fillId="11" borderId="16" xfId="28" applyFill="1" applyBorder="1" applyAlignment="1">
      <alignment wrapText="1"/>
    </xf>
    <xf numFmtId="0" fontId="26" fillId="0" borderId="0" xfId="28" applyFont="1"/>
    <xf numFmtId="0" fontId="19" fillId="11" borderId="0" xfId="28" applyFill="1"/>
    <xf numFmtId="0" fontId="19" fillId="11" borderId="0" xfId="28" applyFill="1" applyAlignment="1">
      <alignment wrapText="1"/>
    </xf>
    <xf numFmtId="0" fontId="19" fillId="11" borderId="14" xfId="28" applyFill="1" applyBorder="1" applyAlignment="1">
      <alignment wrapText="1"/>
    </xf>
    <xf numFmtId="0" fontId="23" fillId="11" borderId="15" xfId="28" applyFont="1" applyFill="1" applyBorder="1" applyAlignment="1">
      <alignment wrapText="1"/>
    </xf>
    <xf numFmtId="0" fontId="19" fillId="11" borderId="22" xfId="28" applyFill="1" applyBorder="1" applyAlignment="1">
      <alignment wrapText="1"/>
    </xf>
    <xf numFmtId="0" fontId="23" fillId="11" borderId="0" xfId="28" applyFont="1" applyFill="1" applyAlignment="1">
      <alignment horizontal="right"/>
    </xf>
    <xf numFmtId="0" fontId="19" fillId="0" borderId="16" xfId="28" applyBorder="1" applyAlignment="1">
      <alignment horizontal="center" wrapText="1"/>
    </xf>
    <xf numFmtId="0" fontId="19" fillId="0" borderId="16" xfId="28" applyBorder="1" applyAlignment="1">
      <alignment wrapText="1"/>
    </xf>
    <xf numFmtId="0" fontId="19" fillId="0" borderId="16" xfId="28" applyBorder="1" applyAlignment="1">
      <alignment horizontal="center" vertical="center" wrapText="1"/>
    </xf>
    <xf numFmtId="0" fontId="19" fillId="11" borderId="11" xfId="28" applyFill="1" applyBorder="1"/>
    <xf numFmtId="1" fontId="19" fillId="11" borderId="0" xfId="28" applyNumberFormat="1" applyFill="1" applyAlignment="1">
      <alignment horizontal="center" vertical="center"/>
    </xf>
    <xf numFmtId="0" fontId="27" fillId="0" borderId="0" xfId="28" applyFont="1" applyAlignment="1">
      <alignment horizontal="left" vertical="center" indent="4"/>
    </xf>
    <xf numFmtId="0" fontId="28" fillId="12" borderId="6" xfId="28" applyFont="1" applyFill="1" applyBorder="1" applyAlignment="1">
      <alignment horizontal="center" vertical="center" wrapText="1"/>
    </xf>
    <xf numFmtId="0" fontId="28" fillId="12" borderId="18" xfId="28" applyFont="1" applyFill="1" applyBorder="1" applyAlignment="1">
      <alignment horizontal="center" vertical="center" wrapText="1"/>
    </xf>
    <xf numFmtId="0" fontId="28" fillId="0" borderId="6" xfId="28" applyFont="1" applyBorder="1" applyAlignment="1">
      <alignment horizontal="center" vertical="center" wrapText="1"/>
    </xf>
    <xf numFmtId="0" fontId="28" fillId="0" borderId="18" xfId="28" applyFont="1" applyBorder="1" applyAlignment="1">
      <alignment horizontal="center" vertical="center" wrapText="1"/>
    </xf>
    <xf numFmtId="0" fontId="28" fillId="0" borderId="24" xfId="28" applyFont="1" applyBorder="1" applyAlignment="1">
      <alignment horizontal="center" vertical="center" wrapText="1"/>
    </xf>
    <xf numFmtId="0" fontId="28" fillId="0" borderId="25" xfId="28" applyFont="1" applyBorder="1" applyAlignment="1">
      <alignment horizontal="center" vertical="center" wrapText="1"/>
    </xf>
    <xf numFmtId="0" fontId="29" fillId="14" borderId="29" xfId="28" applyFont="1" applyFill="1" applyBorder="1" applyAlignment="1">
      <alignment horizontal="center" vertical="center" wrapText="1"/>
    </xf>
    <xf numFmtId="0" fontId="24" fillId="14" borderId="30" xfId="28" applyFont="1" applyFill="1" applyBorder="1" applyAlignment="1">
      <alignment horizontal="center" vertical="center" wrapText="1"/>
    </xf>
    <xf numFmtId="0" fontId="30" fillId="0" borderId="0" xfId="28" applyFont="1" applyAlignment="1">
      <alignment horizontal="center" vertical="center"/>
    </xf>
    <xf numFmtId="0" fontId="31" fillId="0" borderId="0" xfId="28" applyFont="1" applyAlignment="1">
      <alignment horizontal="left" vertical="center" indent="4"/>
    </xf>
    <xf numFmtId="0" fontId="32" fillId="12" borderId="6" xfId="28" applyFont="1" applyFill="1" applyBorder="1" applyAlignment="1">
      <alignment horizontal="center" vertical="center" wrapText="1"/>
    </xf>
    <xf numFmtId="0" fontId="32" fillId="12" borderId="18" xfId="28" applyFont="1" applyFill="1" applyBorder="1" applyAlignment="1">
      <alignment horizontal="center" vertical="center" wrapText="1"/>
    </xf>
    <xf numFmtId="0" fontId="32" fillId="0" borderId="6" xfId="28" applyFont="1" applyBorder="1" applyAlignment="1">
      <alignment horizontal="center" vertical="center" wrapText="1"/>
    </xf>
    <xf numFmtId="0" fontId="32" fillId="0" borderId="18" xfId="28" applyFont="1" applyBorder="1" applyAlignment="1">
      <alignment horizontal="center" vertical="center" wrapText="1"/>
    </xf>
    <xf numFmtId="0" fontId="32" fillId="0" borderId="24" xfId="28" applyFont="1" applyBorder="1" applyAlignment="1">
      <alignment horizontal="center" vertical="center" wrapText="1"/>
    </xf>
    <xf numFmtId="0" fontId="32" fillId="0" borderId="25" xfId="28" applyFont="1" applyBorder="1" applyAlignment="1">
      <alignment horizontal="center" vertical="center" wrapText="1"/>
    </xf>
    <xf numFmtId="0" fontId="31" fillId="0" borderId="0" xfId="28" applyFont="1" applyAlignment="1">
      <alignment horizontal="left" vertical="center" indent="6"/>
    </xf>
    <xf numFmtId="0" fontId="21" fillId="11" borderId="0" xfId="28" applyFont="1" applyFill="1" applyAlignment="1">
      <alignment horizontal="center"/>
    </xf>
    <xf numFmtId="0" fontId="36" fillId="11" borderId="0" xfId="28" applyFont="1" applyFill="1"/>
    <xf numFmtId="0" fontId="27" fillId="0" borderId="0" xfId="28" applyFont="1" applyAlignment="1">
      <alignment horizontal="left" vertical="center" indent="6"/>
    </xf>
    <xf numFmtId="0" fontId="37" fillId="0" borderId="0" xfId="28" applyFont="1" applyAlignment="1">
      <alignment horizontal="left" vertical="center" indent="6"/>
    </xf>
    <xf numFmtId="0" fontId="38" fillId="0" borderId="18" xfId="28" applyFont="1" applyBorder="1" applyAlignment="1">
      <alignment horizontal="center" vertical="center" wrapText="1"/>
    </xf>
    <xf numFmtId="0" fontId="15" fillId="0" borderId="0" xfId="20" applyAlignment="1"/>
    <xf numFmtId="0" fontId="19" fillId="0" borderId="15" xfId="28" applyBorder="1"/>
    <xf numFmtId="0" fontId="19" fillId="0" borderId="0" xfId="28" applyAlignment="1">
      <alignment wrapText="1"/>
    </xf>
    <xf numFmtId="0" fontId="15" fillId="0" borderId="21" xfId="20" applyBorder="1" applyAlignment="1"/>
    <xf numFmtId="0" fontId="15" fillId="0" borderId="18" xfId="20" applyBorder="1" applyAlignment="1"/>
    <xf numFmtId="0" fontId="18" fillId="0" borderId="0" xfId="19" applyAlignment="1"/>
    <xf numFmtId="0" fontId="14" fillId="6" borderId="0" xfId="14" applyAlignment="1" applyProtection="1"/>
    <xf numFmtId="0" fontId="14" fillId="6" borderId="3" xfId="14" applyBorder="1" applyAlignment="1" applyProtection="1"/>
    <xf numFmtId="0" fontId="14" fillId="6" borderId="5" xfId="14" applyBorder="1" applyAlignment="1" applyProtection="1"/>
    <xf numFmtId="0" fontId="19" fillId="0" borderId="13" xfId="28" applyBorder="1"/>
    <xf numFmtId="0" fontId="0" fillId="0" borderId="10" xfId="0" applyBorder="1" applyAlignment="1">
      <alignment vertical="center" wrapText="1"/>
    </xf>
    <xf numFmtId="0" fontId="14" fillId="6" borderId="9" xfId="14" applyBorder="1" applyAlignment="1" applyProtection="1"/>
    <xf numFmtId="0" fontId="0" fillId="0" borderId="8" xfId="0" applyBorder="1" applyAlignment="1">
      <alignment vertical="center" wrapText="1"/>
    </xf>
    <xf numFmtId="0" fontId="14" fillId="6" borderId="6" xfId="14" applyBorder="1" applyAlignment="1" applyProtection="1"/>
    <xf numFmtId="0" fontId="19" fillId="0" borderId="14" xfId="28" applyBorder="1"/>
    <xf numFmtId="0" fontId="0" fillId="0" borderId="10" xfId="0" applyBorder="1">
      <alignment vertical="center"/>
    </xf>
    <xf numFmtId="0" fontId="0" fillId="0" borderId="8" xfId="0" applyBorder="1">
      <alignment vertical="center"/>
    </xf>
    <xf numFmtId="0" fontId="11" fillId="6" borderId="0" xfId="23" applyAlignment="1"/>
    <xf numFmtId="0" fontId="18" fillId="0" borderId="15" xfId="19" applyBorder="1" applyAlignment="1"/>
    <xf numFmtId="0" fontId="15" fillId="0" borderId="12" xfId="20" applyBorder="1" applyAlignment="1"/>
    <xf numFmtId="0" fontId="15" fillId="0" borderId="19" xfId="20" applyBorder="1" applyAlignment="1"/>
    <xf numFmtId="0" fontId="14" fillId="6" borderId="4" xfId="14" applyBorder="1" applyAlignment="1" applyProtection="1"/>
    <xf numFmtId="0" fontId="11" fillId="6" borderId="0" xfId="23" applyAlignment="1" applyProtection="1"/>
    <xf numFmtId="9" fontId="11" fillId="6" borderId="0" xfId="23" applyNumberFormat="1" applyAlignment="1" applyProtection="1"/>
    <xf numFmtId="0" fontId="11" fillId="6" borderId="0" xfId="23" applyAlignment="1" applyProtection="1">
      <alignment horizontal="center"/>
    </xf>
    <xf numFmtId="0" fontId="40" fillId="0" borderId="0" xfId="0" applyFont="1" applyAlignment="1">
      <alignment horizontal="center" vertical="center"/>
    </xf>
    <xf numFmtId="0" fontId="40" fillId="0" borderId="10" xfId="0" applyFont="1" applyBorder="1" applyAlignment="1">
      <alignment horizontal="center" vertical="center"/>
    </xf>
    <xf numFmtId="0" fontId="40" fillId="0" borderId="9" xfId="0" applyFont="1" applyBorder="1" applyAlignment="1">
      <alignment horizontal="center" vertical="center"/>
    </xf>
    <xf numFmtId="0" fontId="11" fillId="6" borderId="10" xfId="23" applyBorder="1" applyAlignment="1" applyProtection="1">
      <alignment horizontal="center"/>
    </xf>
    <xf numFmtId="0" fontId="11" fillId="6" borderId="9" xfId="23" applyBorder="1" applyAlignment="1" applyProtection="1">
      <alignment horizontal="center"/>
    </xf>
    <xf numFmtId="0" fontId="11" fillId="6" borderId="7" xfId="23" applyBorder="1" applyAlignment="1" applyProtection="1">
      <alignment horizontal="center"/>
    </xf>
    <xf numFmtId="0" fontId="11" fillId="6" borderId="6" xfId="23" applyBorder="1" applyAlignment="1" applyProtection="1">
      <alignment horizontal="center"/>
    </xf>
    <xf numFmtId="0" fontId="0" fillId="0" borderId="9" xfId="0" applyBorder="1">
      <alignment vertical="center"/>
    </xf>
    <xf numFmtId="0" fontId="11" fillId="9" borderId="0" xfId="21" applyFont="1" applyBorder="1" applyAlignment="1" applyProtection="1">
      <alignment horizontal="center"/>
    </xf>
    <xf numFmtId="0" fontId="11" fillId="9" borderId="9" xfId="21" applyFont="1" applyBorder="1" applyAlignment="1" applyProtection="1">
      <alignment horizontal="center"/>
    </xf>
    <xf numFmtId="0" fontId="11" fillId="9" borderId="7" xfId="21" applyFont="1" applyBorder="1" applyAlignment="1" applyProtection="1">
      <alignment horizontal="center"/>
    </xf>
    <xf numFmtId="0" fontId="11" fillId="9" borderId="8" xfId="21" applyFont="1" applyBorder="1" applyAlignment="1" applyProtection="1">
      <alignment horizontal="center"/>
    </xf>
    <xf numFmtId="0" fontId="11" fillId="6" borderId="0" xfId="23" applyAlignment="1">
      <alignment horizontal="center" vertical="center"/>
    </xf>
    <xf numFmtId="0" fontId="0" fillId="0" borderId="12" xfId="0" applyBorder="1">
      <alignment vertical="center"/>
    </xf>
    <xf numFmtId="0" fontId="0" fillId="0" borderId="23" xfId="0" applyBorder="1">
      <alignment vertical="center"/>
    </xf>
    <xf numFmtId="0" fontId="0" fillId="0" borderId="19" xfId="0" applyBorder="1">
      <alignment vertical="center"/>
    </xf>
    <xf numFmtId="0" fontId="19" fillId="15" borderId="0" xfId="28" applyFill="1"/>
    <xf numFmtId="166" fontId="11" fillId="0" borderId="2" xfId="24" applyNumberFormat="1" applyAlignment="1"/>
    <xf numFmtId="1" fontId="11" fillId="0" borderId="32" xfId="24" applyNumberFormat="1" applyBorder="1" applyAlignment="1"/>
    <xf numFmtId="1" fontId="11" fillId="0" borderId="3" xfId="24" applyNumberFormat="1" applyBorder="1" applyAlignment="1"/>
    <xf numFmtId="0" fontId="11" fillId="6" borderId="3" xfId="23" applyBorder="1" applyAlignment="1"/>
    <xf numFmtId="166" fontId="11" fillId="0" borderId="5" xfId="24" applyNumberFormat="1" applyBorder="1" applyAlignment="1"/>
    <xf numFmtId="0" fontId="11" fillId="0" borderId="2" xfId="24" applyAlignment="1"/>
    <xf numFmtId="0" fontId="11" fillId="0" borderId="3" xfId="24" applyBorder="1" applyAlignment="1"/>
    <xf numFmtId="0" fontId="41" fillId="0" borderId="0" xfId="28" applyFont="1"/>
    <xf numFmtId="0" fontId="41" fillId="0" borderId="15" xfId="28" applyFont="1" applyBorder="1"/>
    <xf numFmtId="0" fontId="11" fillId="6" borderId="5" xfId="23" applyBorder="1" applyAlignment="1">
      <alignment horizontal="center"/>
    </xf>
    <xf numFmtId="0" fontId="11" fillId="10" borderId="0" xfId="15" applyAlignment="1"/>
    <xf numFmtId="0" fontId="15" fillId="0" borderId="20" xfId="20" applyBorder="1" applyAlignment="1"/>
    <xf numFmtId="0" fontId="11" fillId="10" borderId="15" xfId="15" applyBorder="1" applyAlignment="1"/>
    <xf numFmtId="0" fontId="11" fillId="10" borderId="8" xfId="15" applyBorder="1" applyAlignment="1"/>
    <xf numFmtId="0" fontId="19" fillId="16" borderId="0" xfId="28" applyFill="1"/>
    <xf numFmtId="2" fontId="11" fillId="0" borderId="2" xfId="24" applyNumberFormat="1" applyAlignment="1">
      <alignment horizontal="center" vertical="center"/>
    </xf>
    <xf numFmtId="167" fontId="11" fillId="0" borderId="2" xfId="24" applyNumberFormat="1" applyAlignment="1">
      <alignment horizontal="center"/>
    </xf>
    <xf numFmtId="0" fontId="14" fillId="6" borderId="3" xfId="14" applyBorder="1" applyAlignment="1" applyProtection="1">
      <alignment horizontal="center"/>
    </xf>
    <xf numFmtId="0" fontId="16" fillId="0" borderId="0" xfId="7" applyAlignment="1"/>
    <xf numFmtId="0" fontId="24" fillId="0" borderId="16" xfId="28" applyFont="1" applyBorder="1" applyAlignment="1">
      <alignment horizontal="center" vertical="center"/>
    </xf>
    <xf numFmtId="0" fontId="21" fillId="11" borderId="16" xfId="28" applyFont="1" applyFill="1" applyBorder="1" applyAlignment="1">
      <alignment horizontal="center"/>
    </xf>
    <xf numFmtId="0" fontId="11" fillId="10" borderId="16" xfId="15" applyBorder="1" applyAlignment="1">
      <alignment wrapText="1"/>
    </xf>
    <xf numFmtId="0" fontId="14" fillId="6" borderId="16" xfId="14" applyBorder="1" applyAlignment="1" applyProtection="1">
      <alignment horizontal="center"/>
    </xf>
    <xf numFmtId="0" fontId="19" fillId="11" borderId="17" xfId="28" applyFill="1" applyBorder="1" applyAlignment="1">
      <alignment wrapText="1"/>
    </xf>
    <xf numFmtId="0" fontId="15" fillId="0" borderId="33" xfId="20" applyBorder="1" applyAlignment="1"/>
    <xf numFmtId="0" fontId="15" fillId="0" borderId="34" xfId="20" applyBorder="1" applyAlignment="1"/>
    <xf numFmtId="1" fontId="11" fillId="7" borderId="0" xfId="25" applyNumberFormat="1" applyAlignment="1"/>
    <xf numFmtId="2" fontId="11" fillId="0" borderId="35" xfId="24" applyNumberFormat="1" applyBorder="1" applyAlignment="1"/>
    <xf numFmtId="0" fontId="11" fillId="10" borderId="13" xfId="15" applyBorder="1" applyAlignment="1">
      <alignment wrapText="1"/>
    </xf>
    <xf numFmtId="2" fontId="11" fillId="0" borderId="36" xfId="24" applyNumberFormat="1" applyBorder="1" applyAlignment="1"/>
    <xf numFmtId="2" fontId="11" fillId="0" borderId="2" xfId="24" applyNumberFormat="1" applyAlignment="1"/>
    <xf numFmtId="2" fontId="11" fillId="7" borderId="9" xfId="25" applyNumberFormat="1" applyBorder="1" applyAlignment="1"/>
    <xf numFmtId="2" fontId="11" fillId="0" borderId="37" xfId="24" applyNumberFormat="1" applyBorder="1" applyAlignment="1"/>
    <xf numFmtId="2" fontId="11" fillId="0" borderId="38" xfId="24" applyNumberFormat="1" applyBorder="1" applyAlignment="1"/>
    <xf numFmtId="2" fontId="11" fillId="7" borderId="6" xfId="25" applyNumberFormat="1" applyBorder="1" applyAlignment="1"/>
    <xf numFmtId="0" fontId="11" fillId="10" borderId="9" xfId="15" applyBorder="1" applyAlignment="1">
      <alignment wrapText="1"/>
    </xf>
    <xf numFmtId="0" fontId="11" fillId="10" borderId="10" xfId="15" applyBorder="1" applyAlignment="1">
      <alignment wrapText="1"/>
    </xf>
    <xf numFmtId="0" fontId="11" fillId="10" borderId="0" xfId="15" applyAlignment="1">
      <alignment wrapText="1"/>
    </xf>
    <xf numFmtId="0" fontId="11" fillId="10" borderId="8" xfId="15" applyBorder="1" applyAlignment="1">
      <alignment wrapText="1"/>
    </xf>
    <xf numFmtId="0" fontId="11" fillId="10" borderId="7" xfId="15" applyBorder="1" applyAlignment="1">
      <alignment wrapText="1"/>
    </xf>
    <xf numFmtId="0" fontId="11" fillId="10" borderId="6" xfId="15" applyBorder="1" applyAlignment="1">
      <alignment wrapText="1"/>
    </xf>
    <xf numFmtId="9" fontId="14" fillId="6" borderId="3" xfId="14" applyNumberFormat="1" applyBorder="1" applyAlignment="1" applyProtection="1">
      <alignment horizontal="center" vertical="center"/>
    </xf>
    <xf numFmtId="2" fontId="14" fillId="6" borderId="3" xfId="14" applyNumberFormat="1" applyBorder="1" applyAlignment="1" applyProtection="1">
      <alignment horizontal="center" vertical="center"/>
    </xf>
    <xf numFmtId="0" fontId="24" fillId="11" borderId="0" xfId="28" applyFont="1" applyFill="1" applyAlignment="1">
      <alignment vertical="center"/>
    </xf>
    <xf numFmtId="0" fontId="21" fillId="11" borderId="16" xfId="28" applyFont="1" applyFill="1" applyBorder="1"/>
    <xf numFmtId="168" fontId="11" fillId="0" borderId="2" xfId="24" applyNumberFormat="1" applyAlignment="1">
      <alignment horizontal="center"/>
    </xf>
    <xf numFmtId="0" fontId="40" fillId="0" borderId="39" xfId="0" applyFont="1" applyBorder="1">
      <alignment vertical="center"/>
    </xf>
    <xf numFmtId="0" fontId="0" fillId="0" borderId="40" xfId="0" applyBorder="1">
      <alignment vertical="center"/>
    </xf>
    <xf numFmtId="0" fontId="11" fillId="10" borderId="31" xfId="15" applyBorder="1">
      <alignment vertical="center"/>
    </xf>
    <xf numFmtId="0" fontId="13" fillId="0" borderId="41" xfId="17" applyBorder="1">
      <alignment vertical="center"/>
    </xf>
    <xf numFmtId="9" fontId="11" fillId="10" borderId="31" xfId="15" applyNumberFormat="1" applyBorder="1" applyAlignment="1">
      <alignment vertical="center"/>
    </xf>
    <xf numFmtId="0" fontId="0" fillId="0" borderId="31" xfId="0" applyBorder="1">
      <alignment vertical="center"/>
    </xf>
    <xf numFmtId="0" fontId="0" fillId="0" borderId="41" xfId="0" applyBorder="1">
      <alignment vertical="center"/>
    </xf>
    <xf numFmtId="9" fontId="11" fillId="10" borderId="42" xfId="15" applyNumberFormat="1" applyBorder="1" applyAlignment="1">
      <alignment vertical="center"/>
    </xf>
    <xf numFmtId="0" fontId="13" fillId="0" borderId="43" xfId="17" applyBorder="1">
      <alignment vertical="center"/>
    </xf>
    <xf numFmtId="9" fontId="11" fillId="10" borderId="31" xfId="27" applyFont="1" applyFill="1" applyBorder="1" applyAlignment="1">
      <alignment vertical="center"/>
    </xf>
    <xf numFmtId="9" fontId="14" fillId="6" borderId="0" xfId="14" applyNumberFormat="1" applyAlignment="1" applyProtection="1">
      <alignment horizontal="center"/>
    </xf>
    <xf numFmtId="0" fontId="0" fillId="0" borderId="0" xfId="0" applyAlignment="1">
      <alignment vertical="center" wrapText="1"/>
    </xf>
    <xf numFmtId="0" fontId="18" fillId="0" borderId="10" xfId="19" applyBorder="1" applyAlignment="1">
      <alignment horizontal="left" vertical="center" wrapText="1"/>
    </xf>
    <xf numFmtId="0" fontId="21" fillId="0" borderId="7" xfId="28" applyFont="1" applyBorder="1" applyAlignment="1">
      <alignment horizontal="center"/>
    </xf>
    <xf numFmtId="0" fontId="19" fillId="0" borderId="12" xfId="28" applyBorder="1" applyAlignment="1">
      <alignment horizontal="center"/>
    </xf>
    <xf numFmtId="0" fontId="19" fillId="0" borderId="23" xfId="28" applyBorder="1" applyAlignment="1">
      <alignment horizontal="center"/>
    </xf>
    <xf numFmtId="0" fontId="19" fillId="0" borderId="19" xfId="28" applyBorder="1" applyAlignment="1">
      <alignment horizontal="center"/>
    </xf>
    <xf numFmtId="0" fontId="19" fillId="0" borderId="15" xfId="28" applyBorder="1" applyAlignment="1">
      <alignment horizontal="center"/>
    </xf>
    <xf numFmtId="0" fontId="19" fillId="0" borderId="14" xfId="28" applyBorder="1" applyAlignment="1">
      <alignment horizontal="center"/>
    </xf>
    <xf numFmtId="0" fontId="19" fillId="0" borderId="13" xfId="28" applyBorder="1" applyAlignment="1">
      <alignment horizontal="center"/>
    </xf>
    <xf numFmtId="0" fontId="21" fillId="11" borderId="15" xfId="28" applyFont="1" applyFill="1" applyBorder="1" applyAlignment="1">
      <alignment horizontal="center"/>
    </xf>
    <xf numFmtId="0" fontId="21" fillId="11" borderId="14" xfId="28" applyFont="1" applyFill="1" applyBorder="1" applyAlignment="1">
      <alignment horizontal="center"/>
    </xf>
    <xf numFmtId="0" fontId="21" fillId="11" borderId="13" xfId="28" applyFont="1" applyFill="1" applyBorder="1" applyAlignment="1">
      <alignment horizontal="center"/>
    </xf>
    <xf numFmtId="0" fontId="14" fillId="6" borderId="0" xfId="14" applyAlignment="1" applyProtection="1">
      <alignment horizontal="center"/>
    </xf>
    <xf numFmtId="0" fontId="15" fillId="0" borderId="0" xfId="20" applyAlignment="1">
      <alignment horizontal="center"/>
    </xf>
    <xf numFmtId="0" fontId="19" fillId="11" borderId="12" xfId="28" applyFill="1" applyBorder="1" applyAlignment="1">
      <alignment horizontal="center"/>
    </xf>
    <xf numFmtId="0" fontId="19" fillId="11" borderId="23" xfId="28" applyFill="1" applyBorder="1" applyAlignment="1">
      <alignment horizontal="center"/>
    </xf>
    <xf numFmtId="0" fontId="19" fillId="11" borderId="19" xfId="28" applyFill="1" applyBorder="1" applyAlignment="1">
      <alignment horizontal="center"/>
    </xf>
    <xf numFmtId="0" fontId="11" fillId="6" borderId="31" xfId="23" applyBorder="1" applyAlignment="1">
      <alignment horizontal="center"/>
    </xf>
    <xf numFmtId="0" fontId="11" fillId="6" borderId="41" xfId="23" applyBorder="1" applyAlignment="1">
      <alignment horizontal="center"/>
    </xf>
    <xf numFmtId="0" fontId="38" fillId="0" borderId="28" xfId="28" applyFont="1" applyBorder="1" applyAlignment="1">
      <alignment horizontal="center" vertical="center" wrapText="1"/>
    </xf>
    <xf numFmtId="0" fontId="38" fillId="0" borderId="27" xfId="28" applyFont="1" applyBorder="1" applyAlignment="1">
      <alignment horizontal="center" vertical="center" wrapText="1"/>
    </xf>
    <xf numFmtId="0" fontId="38" fillId="0" borderId="26" xfId="28" applyFont="1" applyBorder="1" applyAlignment="1">
      <alignment horizontal="center" vertical="center" wrapText="1"/>
    </xf>
    <xf numFmtId="0" fontId="28" fillId="0" borderId="28" xfId="28" applyFont="1" applyBorder="1" applyAlignment="1">
      <alignment horizontal="center" vertical="center" wrapText="1"/>
    </xf>
    <xf numFmtId="0" fontId="28" fillId="0" borderId="27" xfId="28" applyFont="1" applyBorder="1" applyAlignment="1">
      <alignment horizontal="center" vertical="center" wrapText="1"/>
    </xf>
    <xf numFmtId="0" fontId="28" fillId="0" borderId="26" xfId="28" applyFont="1" applyBorder="1" applyAlignment="1">
      <alignment horizontal="center" vertical="center" wrapText="1"/>
    </xf>
  </cellXfs>
  <cellStyles count="30">
    <cellStyle name="Calculation" xfId="1" builtinId="22" customBuiltin="1"/>
    <cellStyle name="Calculation oet2017" xfId="24" xr:uid="{00000000-0005-0000-0000-000001000000}"/>
    <cellStyle name="Check fail" xfId="18" xr:uid="{00000000-0005-0000-0000-000002000000}"/>
    <cellStyle name="Check pass" xfId="17" xr:uid="{00000000-0005-0000-0000-000003000000}"/>
    <cellStyle name="Confidential" xfId="13" xr:uid="{00000000-0005-0000-0000-000004000000}"/>
    <cellStyle name="Feed external" xfId="16" xr:uid="{00000000-0005-0000-0000-000005000000}"/>
    <cellStyle name="Feed internal" xfId="15" xr:uid="{00000000-0005-0000-0000-000006000000}"/>
    <cellStyle name="H1" xfId="2" xr:uid="{00000000-0005-0000-0000-000007000000}"/>
    <cellStyle name="H2" xfId="3" xr:uid="{00000000-0005-0000-0000-000008000000}"/>
    <cellStyle name="H3" xfId="4" xr:uid="{00000000-0005-0000-0000-000009000000}"/>
    <cellStyle name="H4" xfId="5" xr:uid="{00000000-0005-0000-0000-00000A000000}"/>
    <cellStyle name="Highlight" xfId="6" xr:uid="{00000000-0005-0000-0000-00000B000000}"/>
    <cellStyle name="Input assumption or parameter" xfId="14" xr:uid="{00000000-0005-0000-0000-00000C000000}"/>
    <cellStyle name="Input data" xfId="23" xr:uid="{00000000-0005-0000-0000-00000D000000}"/>
    <cellStyle name="Intentionally blank" xfId="21" xr:uid="{00000000-0005-0000-0000-00000E000000}"/>
    <cellStyle name="Model logic" xfId="20" xr:uid="{00000000-0005-0000-0000-00000F000000}"/>
    <cellStyle name="Named range" xfId="22" xr:uid="{00000000-0005-0000-0000-000011000000}"/>
    <cellStyle name="Normal" xfId="0" builtinId="0" customBuiltin="1"/>
    <cellStyle name="Normal 2" xfId="28" xr:uid="{EF32A467-29E2-491C-B32B-58CD41F188B6}"/>
    <cellStyle name="Note" xfId="8" builtinId="10" customBuiltin="1"/>
    <cellStyle name="Note or source" xfId="19" xr:uid="{00000000-0005-0000-0000-000014000000}"/>
    <cellStyle name="Output" xfId="9" builtinId="21" customBuiltin="1"/>
    <cellStyle name="Output oet2017" xfId="25" xr:uid="{00000000-0005-0000-0000-000016000000}"/>
    <cellStyle name="Per cent" xfId="27" builtinId="5"/>
    <cellStyle name="Percent 2" xfId="29" xr:uid="{D2AFE0C4-7797-416C-B330-B73522E7847B}"/>
    <cellStyle name="QA highlight" xfId="12" xr:uid="{00000000-0005-0000-0000-000017000000}"/>
    <cellStyle name="Randomized" xfId="26" xr:uid="{00000000-0005-0000-0000-000018000000}"/>
    <cellStyle name="Range name" xfId="7" xr:uid="{00000000-0005-0000-0000-000010000000}"/>
    <cellStyle name="Total" xfId="10" builtinId="25" customBuiltin="1"/>
    <cellStyle name="Unhighlight" xfId="11" xr:uid="{00000000-0005-0000-0000-00001A000000}"/>
  </cellStyles>
  <dxfs count="12">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
      <font>
        <b/>
        <i val="0"/>
        <color rgb="FFFFFFFF"/>
      </font>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8080"/>
      <rgbColor rgb="00BFDCF9"/>
      <rgbColor rgb="00C00000"/>
      <rgbColor rgb="00008000"/>
      <rgbColor rgb="000000C0"/>
      <rgbColor rgb="00808000"/>
      <rgbColor rgb="00FF00FF"/>
      <rgbColor rgb="000060C0"/>
      <rgbColor rgb="00E0E0E0"/>
      <rgbColor rgb="00A0A0A0"/>
      <rgbColor rgb="00A0A0A0"/>
      <rgbColor rgb="00E4E4E4"/>
      <rgbColor rgb="007B7B7B"/>
      <rgbColor rgb="00C8C8C8"/>
      <rgbColor rgb="00565656"/>
      <rgbColor rgb="00FAFAFA"/>
      <rgbColor rgb="00323232"/>
      <rgbColor rgb="00000000"/>
      <rgbColor rgb="00660066"/>
      <rgbColor rgb="00E3738F"/>
      <rgbColor rgb="00CAA6CA"/>
      <rgbColor rgb="00CC0033"/>
      <rgbColor rgb="009B599B"/>
      <rgbColor rgb="00F2BFCC"/>
      <rgbColor rgb="00853385"/>
      <rgbColor rgb="00EB99AD"/>
      <rgbColor rgb="00E8D9E8"/>
      <rgbColor rgb="00DB4C70"/>
      <rgbColor rgb="00B27FB2"/>
      <rgbColor rgb="00FAE5EA"/>
      <rgbColor rgb="00FAE5EA"/>
      <rgbColor rgb="00FFC0C0"/>
      <rgbColor rgb="00FFC0FF"/>
      <rgbColor rgb="00FFF1C9"/>
      <rgbColor rgb="008080FF"/>
      <rgbColor rgb="000080FF"/>
      <rgbColor rgb="00C0C000"/>
      <rgbColor rgb="00FFE0A0"/>
      <rgbColor rgb="00FF8000"/>
      <rgbColor rgb="00C06000"/>
      <rgbColor rgb="00C000C0"/>
      <rgbColor rgb="00C0C0C0"/>
      <rgbColor rgb="00003A47"/>
      <rgbColor rgb="0000C000"/>
      <rgbColor rgb="00006000"/>
      <rgbColor rgb="00606000"/>
      <rgbColor rgb="00804000"/>
      <rgbColor rgb="00FF80FF"/>
      <rgbColor rgb="00800080"/>
      <rgbColor rgb="00808080"/>
    </indexedColors>
    <mruColors>
      <color rgb="FFCC0044"/>
      <color rgb="FF642566"/>
      <color rgb="FF404040"/>
      <color rgb="FFC00000"/>
      <color rgb="FFFFFFFF"/>
      <color rgb="FFEAC8EA"/>
      <color rgb="FF000000"/>
      <color rgb="FF0000FF"/>
      <color rgb="FFDAEEF3"/>
      <color rgb="FFF794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attachedToolbars" Target="attachedToolbars.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'DL linkLevel'!$C$8</c:f>
          <c:strCache>
            <c:ptCount val="1"/>
            <c:pt idx="0">
              <c:v>Downlink SUT Distribution (Downlink 75%)</c:v>
            </c:pt>
          </c:strCache>
        </c:strRef>
      </c:tx>
      <c:layout>
        <c:manualLayout>
          <c:xMode val="edge"/>
          <c:yMode val="edge"/>
          <c:x val="0.33685439648697096"/>
          <c:y val="2.5761594560178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588135984741322E-2"/>
          <c:y val="8.7125829970016652E-2"/>
          <c:w val="0.61716358011185579"/>
          <c:h val="0.81829771832891607"/>
        </c:manualLayout>
      </c:layout>
      <c:lineChart>
        <c:grouping val="standard"/>
        <c:varyColors val="0"/>
        <c:ser>
          <c:idx val="8"/>
          <c:order val="0"/>
          <c:tx>
            <c:strRef>
              <c:f>'DL linkLevel'!$U$26</c:f>
              <c:strCache>
                <c:ptCount val="1"/>
                <c:pt idx="0">
                  <c:v>100 MHz TDD 4x4 SU-MIMO</c:v>
                </c:pt>
              </c:strCache>
            </c:strRef>
          </c:tx>
          <c:spPr>
            <a:ln w="38100" cap="rnd">
              <a:solidFill>
                <a:schemeClr val="accent5"/>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linkLevel'!$U$27:$U$69,'DL linkLevel'!$U$77)</c:f>
              <c:numCache>
                <c:formatCode>0.00</c:formatCode>
                <c:ptCount val="44"/>
                <c:pt idx="0">
                  <c:v>24.324923365458506</c:v>
                </c:pt>
                <c:pt idx="1">
                  <c:v>30.262814879751037</c:v>
                </c:pt>
                <c:pt idx="2">
                  <c:v>37.546944061736937</c:v>
                </c:pt>
                <c:pt idx="3">
                  <c:v>46.431056552049817</c:v>
                </c:pt>
                <c:pt idx="4">
                  <c:v>57.192943381831498</c:v>
                </c:pt>
                <c:pt idx="5">
                  <c:v>70.126366246399485</c:v>
                </c:pt>
                <c:pt idx="6">
                  <c:v>85.528653146664212</c:v>
                </c:pt>
                <c:pt idx="7">
                  <c:v>103.68412900388773</c:v>
                </c:pt>
                <c:pt idx="8">
                  <c:v>124.84452295803763</c:v>
                </c:pt>
                <c:pt idx="9">
                  <c:v>149.20858645382694</c:v>
                </c:pt>
                <c:pt idx="10">
                  <c:v>176.904</c:v>
                </c:pt>
                <c:pt idx="11">
                  <c:v>207.97482322362231</c:v>
                </c:pt>
                <c:pt idx="12">
                  <c:v>242.37699649762845</c:v>
                </c:pt>
                <c:pt idx="13">
                  <c:v>279.98283931327393</c:v>
                </c:pt>
                <c:pt idx="14">
                  <c:v>320.59360022584588</c:v>
                </c:pt>
                <c:pt idx="15">
                  <c:v>363.95755009537646</c:v>
                </c:pt>
                <c:pt idx="16">
                  <c:v>409.79036400060374</c:v>
                </c:pt>
                <c:pt idx="17">
                  <c:v>457.79471394061761</c:v>
                </c:pt>
                <c:pt idx="18">
                  <c:v>507.67683822010019</c:v>
                </c:pt>
                <c:pt idx="19">
                  <c:v>559.15894580790973</c:v>
                </c:pt>
                <c:pt idx="20">
                  <c:v>611.98729106341261</c:v>
                </c:pt>
                <c:pt idx="21">
                  <c:v>665.9364211073505</c:v>
                </c:pt>
                <c:pt idx="22">
                  <c:v>720.81042639570978</c:v>
                </c:pt>
                <c:pt idx="23">
                  <c:v>776.44208756239232</c:v>
                </c:pt>
                <c:pt idx="24">
                  <c:v>832.69071255778204</c:v>
                </c:pt>
                <c:pt idx="25">
                  <c:v>889.43928864640043</c:v>
                </c:pt>
                <c:pt idx="26">
                  <c:v>946.59139519119492</c:v>
                </c:pt>
                <c:pt idx="27">
                  <c:v>1004.0681677488913</c:v>
                </c:pt>
                <c:pt idx="28">
                  <c:v>1061.8054835697267</c:v>
                </c:pt>
                <c:pt idx="29">
                  <c:v>1119.7514529251116</c:v>
                </c:pt>
                <c:pt idx="30">
                  <c:v>1177.8642441447237</c:v>
                </c:pt>
                <c:pt idx="31">
                  <c:v>1236.1102357431387</c:v>
                </c:pt>
                <c:pt idx="32">
                  <c:v>1294.4624700065831</c:v>
                </c:pt>
                <c:pt idx="33">
                  <c:v>1352.8993736332031</c:v>
                </c:pt>
                <c:pt idx="34">
                  <c:v>1411.4037085990317</c:v>
                </c:pt>
                <c:pt idx="35">
                  <c:v>1469.9617176715101</c:v>
                </c:pt>
                <c:pt idx="36">
                  <c:v>1528.562432146733</c:v>
                </c:pt>
                <c:pt idx="37">
                  <c:v>1587.1971133396505</c:v>
                </c:pt>
                <c:pt idx="38">
                  <c:v>1627.5536550000002</c:v>
                </c:pt>
                <c:pt idx="39">
                  <c:v>1627.5536550000002</c:v>
                </c:pt>
                <c:pt idx="40">
                  <c:v>1627.5536550000002</c:v>
                </c:pt>
                <c:pt idx="41">
                  <c:v>1627.5536550000002</c:v>
                </c:pt>
                <c:pt idx="42">
                  <c:v>1627.5536550000002</c:v>
                </c:pt>
                <c:pt idx="43">
                  <c:v>1627.5536550000002</c:v>
                </c:pt>
              </c:numCache>
              <c:extLst/>
            </c:numRef>
          </c:val>
          <c:smooth val="0"/>
          <c:extLst>
            <c:ext xmlns:c16="http://schemas.microsoft.com/office/drawing/2014/chart" uri="{C3380CC4-5D6E-409C-BE32-E72D297353CC}">
              <c16:uniqueId val="{00000000-FADB-42D4-AD4B-ED72EECC1985}"/>
            </c:ext>
          </c:extLst>
        </c:ser>
        <c:ser>
          <c:idx val="6"/>
          <c:order val="1"/>
          <c:tx>
            <c:strRef>
              <c:f>'DL linkLevel'!$O$26</c:f>
              <c:strCache>
                <c:ptCount val="1"/>
                <c:pt idx="0">
                  <c:v>80 MHz TDD 4x4 SU-MIMO</c:v>
                </c:pt>
              </c:strCache>
            </c:strRef>
          </c:tx>
          <c:spPr>
            <a:ln w="38100" cap="rnd">
              <a:solidFill>
                <a:schemeClr val="accent3"/>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linkLevel'!$O$27:$O$69,'DL linkLevel'!$O$77)</c:f>
              <c:numCache>
                <c:formatCode>0.00</c:formatCode>
                <c:ptCount val="44"/>
                <c:pt idx="0">
                  <c:v>19.335195495620862</c:v>
                </c:pt>
                <c:pt idx="1">
                  <c:v>24.055057981340568</c:v>
                </c:pt>
                <c:pt idx="2">
                  <c:v>29.845006818303723</c:v>
                </c:pt>
                <c:pt idx="3">
                  <c:v>36.906737259321659</c:v>
                </c:pt>
                <c:pt idx="4">
                  <c:v>45.46105755991735</c:v>
                </c:pt>
                <c:pt idx="5">
                  <c:v>55.741470606112415</c:v>
                </c:pt>
                <c:pt idx="6">
                  <c:v>67.984314039656169</c:v>
                </c:pt>
                <c:pt idx="7">
                  <c:v>82.415589721038984</c:v>
                </c:pt>
                <c:pt idx="8">
                  <c:v>99.235390043568387</c:v>
                </c:pt>
                <c:pt idx="9">
                  <c:v>118.6016969248368</c:v>
                </c:pt>
                <c:pt idx="10">
                  <c:v>140.61599999999999</c:v>
                </c:pt>
                <c:pt idx="11">
                  <c:v>165.31332102390493</c:v>
                </c:pt>
                <c:pt idx="12">
                  <c:v>192.65863824170467</c:v>
                </c:pt>
                <c:pt idx="13">
                  <c:v>222.55046201824342</c:v>
                </c:pt>
                <c:pt idx="14">
                  <c:v>254.83081043592878</c:v>
                </c:pt>
                <c:pt idx="15">
                  <c:v>289.29959110145307</c:v>
                </c:pt>
                <c:pt idx="16">
                  <c:v>325.73080215432611</c:v>
                </c:pt>
                <c:pt idx="17">
                  <c:v>363.88810595279864</c:v>
                </c:pt>
                <c:pt idx="18">
                  <c:v>403.53799961084894</c:v>
                </c:pt>
                <c:pt idx="19">
                  <c:v>444.45967487295383</c:v>
                </c:pt>
                <c:pt idx="20">
                  <c:v>486.45143648630233</c:v>
                </c:pt>
                <c:pt idx="21">
                  <c:v>529.33407831609918</c:v>
                </c:pt>
                <c:pt idx="22">
                  <c:v>572.95187739146161</c:v>
                </c:pt>
                <c:pt idx="23">
                  <c:v>617.17191575472202</c:v>
                </c:pt>
                <c:pt idx="24">
                  <c:v>661.88236126387801</c:v>
                </c:pt>
                <c:pt idx="25">
                  <c:v>706.9902037958567</c:v>
                </c:pt>
                <c:pt idx="26">
                  <c:v>752.41880130582172</c:v>
                </c:pt>
                <c:pt idx="27">
                  <c:v>798.10546667219558</c:v>
                </c:pt>
                <c:pt idx="28">
                  <c:v>843.99923052978284</c:v>
                </c:pt>
                <c:pt idx="29">
                  <c:v>890.05884719688368</c:v>
                </c:pt>
                <c:pt idx="30">
                  <c:v>936.25106585862648</c:v>
                </c:pt>
                <c:pt idx="31">
                  <c:v>982.54916174454615</c:v>
                </c:pt>
                <c:pt idx="32">
                  <c:v>1028.9317069283097</c:v>
                </c:pt>
                <c:pt idx="33">
                  <c:v>1075.3815534007513</c:v>
                </c:pt>
                <c:pt idx="34">
                  <c:v>1121.8849991428201</c:v>
                </c:pt>
                <c:pt idx="35">
                  <c:v>1168.4311089183798</c:v>
                </c:pt>
                <c:pt idx="36">
                  <c:v>1215.0111640140699</c:v>
                </c:pt>
                <c:pt idx="37">
                  <c:v>1261.6182182956197</c:v>
                </c:pt>
                <c:pt idx="38">
                  <c:v>1293.6964950000004</c:v>
                </c:pt>
                <c:pt idx="39">
                  <c:v>1293.6964950000004</c:v>
                </c:pt>
                <c:pt idx="40">
                  <c:v>1293.6964950000004</c:v>
                </c:pt>
                <c:pt idx="41">
                  <c:v>1293.6964950000004</c:v>
                </c:pt>
                <c:pt idx="42">
                  <c:v>1293.6964950000004</c:v>
                </c:pt>
                <c:pt idx="43">
                  <c:v>1293.6964950000004</c:v>
                </c:pt>
              </c:numCache>
              <c:extLst/>
            </c:numRef>
          </c:val>
          <c:smooth val="0"/>
          <c:extLst>
            <c:ext xmlns:c16="http://schemas.microsoft.com/office/drawing/2014/chart" uri="{C3380CC4-5D6E-409C-BE32-E72D297353CC}">
              <c16:uniqueId val="{00000001-FADB-42D4-AD4B-ED72EECC1985}"/>
            </c:ext>
          </c:extLst>
        </c:ser>
        <c:ser>
          <c:idx val="7"/>
          <c:order val="2"/>
          <c:tx>
            <c:strRef>
              <c:f>'DL linkLevel'!$R$26</c:f>
              <c:strCache>
                <c:ptCount val="1"/>
                <c:pt idx="0">
                  <c:v>40 + 40 MHz 4x4 SU-MIMO </c:v>
                </c:pt>
              </c:strCache>
            </c:strRef>
          </c:tx>
          <c:spPr>
            <a:ln w="38100" cap="rnd">
              <a:solidFill>
                <a:schemeClr val="accent6"/>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linkLevel'!$R$27:$R$69,'DL linkLevel'!$R$77)</c:f>
              <c:numCache>
                <c:formatCode>0.00</c:formatCode>
                <c:ptCount val="44"/>
                <c:pt idx="0">
                  <c:v>17.756303033950804</c:v>
                </c:pt>
                <c:pt idx="1">
                  <c:v>22.090746334200677</c:v>
                </c:pt>
                <c:pt idx="2">
                  <c:v>27.407893819131633</c:v>
                </c:pt>
                <c:pt idx="3">
                  <c:v>33.892970511694095</c:v>
                </c:pt>
                <c:pt idx="4">
                  <c:v>41.748753689125934</c:v>
                </c:pt>
                <c:pt idx="5">
                  <c:v>51.189678628507281</c:v>
                </c:pt>
                <c:pt idx="6">
                  <c:v>62.432783879367186</c:v>
                </c:pt>
                <c:pt idx="7">
                  <c:v>75.685616219394674</c:v>
                </c:pt>
                <c:pt idx="8">
                  <c:v>91.131928699918447</c:v>
                </c:pt>
                <c:pt idx="9">
                  <c:v>108.91680259530632</c:v>
                </c:pt>
                <c:pt idx="10">
                  <c:v>129.13343999999998</c:v>
                </c:pt>
                <c:pt idx="11">
                  <c:v>151.81400282785148</c:v>
                </c:pt>
                <c:pt idx="12">
                  <c:v>176.92632916500875</c:v>
                </c:pt>
                <c:pt idx="13">
                  <c:v>204.37721691703013</c:v>
                </c:pt>
                <c:pt idx="14">
                  <c:v>234.02158480954785</c:v>
                </c:pt>
                <c:pt idx="15">
                  <c:v>265.67567979123299</c:v>
                </c:pt>
                <c:pt idx="16">
                  <c:v>299.13195508439674</c:v>
                </c:pt>
                <c:pt idx="17">
                  <c:v>334.17337213951009</c:v>
                </c:pt>
                <c:pt idx="18">
                  <c:v>370.58549567949291</c:v>
                </c:pt>
                <c:pt idx="19">
                  <c:v>408.16554842710701</c:v>
                </c:pt>
                <c:pt idx="20">
                  <c:v>446.72830535940233</c:v>
                </c:pt>
                <c:pt idx="21">
                  <c:v>486.1091941328674</c:v>
                </c:pt>
                <c:pt idx="22">
                  <c:v>526.16520795654583</c:v>
                </c:pt>
                <c:pt idx="23">
                  <c:v>566.77428281843765</c:v>
                </c:pt>
                <c:pt idx="24">
                  <c:v>607.83371867587834</c:v>
                </c:pt>
                <c:pt idx="25">
                  <c:v>649.25810051814881</c:v>
                </c:pt>
                <c:pt idx="26">
                  <c:v>690.97704481209257</c:v>
                </c:pt>
                <c:pt idx="27">
                  <c:v>732.93298340292677</c:v>
                </c:pt>
                <c:pt idx="28">
                  <c:v>775.07910903214315</c:v>
                </c:pt>
                <c:pt idx="29">
                  <c:v>817.37754409859429</c:v>
                </c:pt>
                <c:pt idx="30">
                  <c:v>859.79775301523989</c:v>
                </c:pt>
                <c:pt idx="31">
                  <c:v>902.31519332927701</c:v>
                </c:pt>
                <c:pt idx="32">
                  <c:v>944.91018689711291</c:v>
                </c:pt>
                <c:pt idx="33">
                  <c:v>987.56698599862511</c:v>
                </c:pt>
                <c:pt idx="34">
                  <c:v>1030.2730075077473</c:v>
                </c:pt>
                <c:pt idx="35">
                  <c:v>1073.018209148639</c:v>
                </c:pt>
                <c:pt idx="36">
                  <c:v>1115.794584169234</c:v>
                </c:pt>
                <c:pt idx="37">
                  <c:v>1158.5957536495441</c:v>
                </c:pt>
                <c:pt idx="38">
                  <c:v>1188.0545508</c:v>
                </c:pt>
                <c:pt idx="39">
                  <c:v>1188.0545508</c:v>
                </c:pt>
                <c:pt idx="40">
                  <c:v>1188.0545508</c:v>
                </c:pt>
                <c:pt idx="41">
                  <c:v>1188.0545508</c:v>
                </c:pt>
                <c:pt idx="42">
                  <c:v>1188.0545508</c:v>
                </c:pt>
                <c:pt idx="43">
                  <c:v>1188.0545508</c:v>
                </c:pt>
              </c:numCache>
              <c:extLst/>
            </c:numRef>
          </c:val>
          <c:smooth val="0"/>
          <c:extLst>
            <c:ext xmlns:c16="http://schemas.microsoft.com/office/drawing/2014/chart" uri="{C3380CC4-5D6E-409C-BE32-E72D297353CC}">
              <c16:uniqueId val="{00000002-FADB-42D4-AD4B-ED72EECC1985}"/>
            </c:ext>
          </c:extLst>
        </c:ser>
        <c:ser>
          <c:idx val="4"/>
          <c:order val="3"/>
          <c:tx>
            <c:strRef>
              <c:f>'DL linkLevel'!$L$26</c:f>
              <c:strCache>
                <c:ptCount val="1"/>
                <c:pt idx="0">
                  <c:v>50 MHz TDD 4x4 SU-MIMO</c:v>
                </c:pt>
              </c:strCache>
            </c:strRef>
          </c:tx>
          <c:spPr>
            <a:ln w="38100" cap="rnd">
              <a:solidFill>
                <a:srgbClr val="C00000"/>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linkLevel'!$L$27:$L$69,'DL linkLevel'!$L$77)</c:f>
              <c:numCache>
                <c:formatCode>0.00</c:formatCode>
                <c:ptCount val="44"/>
                <c:pt idx="0">
                  <c:v>11.8506036908644</c:v>
                </c:pt>
                <c:pt idx="1">
                  <c:v>14.743422633724862</c:v>
                </c:pt>
                <c:pt idx="2">
                  <c:v>18.292100953153895</c:v>
                </c:pt>
                <c:pt idx="3">
                  <c:v>22.6202583202294</c:v>
                </c:pt>
                <c:pt idx="4">
                  <c:v>27.863228827046115</c:v>
                </c:pt>
                <c:pt idx="5">
                  <c:v>34.164127145681803</c:v>
                </c:pt>
                <c:pt idx="6">
                  <c:v>41.667805379144106</c:v>
                </c:pt>
                <c:pt idx="7">
                  <c:v>50.512780796765824</c:v>
                </c:pt>
                <c:pt idx="8">
                  <c:v>60.821690671864488</c:v>
                </c:pt>
                <c:pt idx="9">
                  <c:v>72.691362631351581</c:v>
                </c:pt>
                <c:pt idx="10">
                  <c:v>86.183999999999997</c:v>
                </c:pt>
                <c:pt idx="11">
                  <c:v>101.32106772432883</c:v>
                </c:pt>
                <c:pt idx="12">
                  <c:v>118.081100857819</c:v>
                </c:pt>
                <c:pt idx="13">
                  <c:v>136.40189607569755</c:v>
                </c:pt>
                <c:pt idx="14">
                  <c:v>156.18662575105313</c:v>
                </c:pt>
                <c:pt idx="15">
                  <c:v>177.31265261056802</c:v>
                </c:pt>
                <c:pt idx="16">
                  <c:v>199.64145938490952</c:v>
                </c:pt>
                <c:pt idx="17">
                  <c:v>223.02819397107015</c:v>
                </c:pt>
                <c:pt idx="18">
                  <c:v>247.32974169697189</c:v>
                </c:pt>
                <c:pt idx="19">
                  <c:v>272.41076847052011</c:v>
                </c:pt>
                <c:pt idx="20">
                  <c:v>298.1476546206369</c:v>
                </c:pt>
                <c:pt idx="21">
                  <c:v>324.43056412922209</c:v>
                </c:pt>
                <c:pt idx="22">
                  <c:v>351.16405388508934</c:v>
                </c:pt>
                <c:pt idx="23">
                  <c:v>378.26665804321675</c:v>
                </c:pt>
                <c:pt idx="24">
                  <c:v>405.66983432302209</c:v>
                </c:pt>
                <c:pt idx="25">
                  <c:v>433.31657652004117</c:v>
                </c:pt>
                <c:pt idx="26">
                  <c:v>461.15991047776163</c:v>
                </c:pt>
                <c:pt idx="27">
                  <c:v>489.16141505715211</c:v>
                </c:pt>
                <c:pt idx="28">
                  <c:v>517.28985096986685</c:v>
                </c:pt>
                <c:pt idx="29">
                  <c:v>545.51993860454161</c:v>
                </c:pt>
                <c:pt idx="30">
                  <c:v>573.83129842948074</c:v>
                </c:pt>
                <c:pt idx="31">
                  <c:v>602.20755074665738</c:v>
                </c:pt>
                <c:pt idx="32">
                  <c:v>630.63556231089945</c:v>
                </c:pt>
                <c:pt idx="33">
                  <c:v>659.10482305207336</c:v>
                </c:pt>
                <c:pt idx="34">
                  <c:v>687.60693495850273</c:v>
                </c:pt>
                <c:pt idx="35">
                  <c:v>716.13519578868443</c:v>
                </c:pt>
                <c:pt idx="36">
                  <c:v>744.68426181507505</c:v>
                </c:pt>
                <c:pt idx="37">
                  <c:v>773.24987572957343</c:v>
                </c:pt>
                <c:pt idx="38">
                  <c:v>792.91075500000011</c:v>
                </c:pt>
                <c:pt idx="39">
                  <c:v>792.91075500000011</c:v>
                </c:pt>
                <c:pt idx="40">
                  <c:v>792.91075500000011</c:v>
                </c:pt>
                <c:pt idx="41">
                  <c:v>792.91075500000011</c:v>
                </c:pt>
                <c:pt idx="42">
                  <c:v>792.91075500000011</c:v>
                </c:pt>
                <c:pt idx="43">
                  <c:v>792.91075500000011</c:v>
                </c:pt>
              </c:numCache>
              <c:extLst/>
            </c:numRef>
          </c:val>
          <c:smooth val="0"/>
          <c:extLst>
            <c:ext xmlns:c16="http://schemas.microsoft.com/office/drawing/2014/chart" uri="{C3380CC4-5D6E-409C-BE32-E72D297353CC}">
              <c16:uniqueId val="{00000003-FADB-42D4-AD4B-ED72EECC1985}"/>
            </c:ext>
          </c:extLst>
        </c:ser>
        <c:ser>
          <c:idx val="3"/>
          <c:order val="4"/>
          <c:tx>
            <c:strRef>
              <c:f>'DL linkLevel'!$I$26</c:f>
              <c:strCache>
                <c:ptCount val="1"/>
                <c:pt idx="0">
                  <c:v>40 MHz TDD 4x4 SU-MIMO</c:v>
                </c:pt>
              </c:strCache>
            </c:strRef>
          </c:tx>
          <c:spPr>
            <a:ln w="38100" cap="rnd">
              <a:solidFill>
                <a:schemeClr val="bg2"/>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linkLevel'!$I$27:$I$69,'DL linkLevel'!$I$77)</c:f>
              <c:numCache>
                <c:formatCode>0.00</c:formatCode>
                <c:ptCount val="44"/>
                <c:pt idx="0">
                  <c:v>9.4448420393355352</c:v>
                </c:pt>
                <c:pt idx="1">
                  <c:v>11.750396986276957</c:v>
                </c:pt>
                <c:pt idx="2">
                  <c:v>14.578666925070019</c:v>
                </c:pt>
                <c:pt idx="3">
                  <c:v>18.028175804092605</c:v>
                </c:pt>
                <c:pt idx="4">
                  <c:v>22.206783877194646</c:v>
                </c:pt>
                <c:pt idx="5">
                  <c:v>27.228552461971958</c:v>
                </c:pt>
                <c:pt idx="6">
                  <c:v>33.208927595408078</c:v>
                </c:pt>
                <c:pt idx="7">
                  <c:v>40.258306499678021</c:v>
                </c:pt>
                <c:pt idx="8">
                  <c:v>48.474430159531096</c:v>
                </c:pt>
                <c:pt idx="9">
                  <c:v>57.934469465588478</c:v>
                </c:pt>
                <c:pt idx="10">
                  <c:v>68.687999999999988</c:v>
                </c:pt>
                <c:pt idx="11">
                  <c:v>80.752129163750794</c:v>
                </c:pt>
                <c:pt idx="12">
                  <c:v>94.109749555855728</c:v>
                </c:pt>
                <c:pt idx="13">
                  <c:v>108.71128559416496</c:v>
                </c:pt>
                <c:pt idx="14">
                  <c:v>124.47956638805735</c:v>
                </c:pt>
                <c:pt idx="15">
                  <c:v>141.31685095278351</c:v>
                </c:pt>
                <c:pt idx="16">
                  <c:v>159.11274206616849</c:v>
                </c:pt>
                <c:pt idx="17">
                  <c:v>177.75179369122881</c:v>
                </c:pt>
                <c:pt idx="18">
                  <c:v>197.11994451036855</c:v>
                </c:pt>
                <c:pt idx="19">
                  <c:v>217.10933426973781</c:v>
                </c:pt>
                <c:pt idx="20">
                  <c:v>237.62143902095869</c:v>
                </c:pt>
                <c:pt idx="21">
                  <c:v>258.56872028344014</c:v>
                </c:pt>
                <c:pt idx="22">
                  <c:v>279.87511061518398</c:v>
                </c:pt>
                <c:pt idx="23">
                  <c:v>301.47568235023289</c:v>
                </c:pt>
                <c:pt idx="24">
                  <c:v>323.31580780631828</c:v>
                </c:pt>
                <c:pt idx="25">
                  <c:v>345.35005346710045</c:v>
                </c:pt>
                <c:pt idx="26">
                  <c:v>367.54098128302803</c:v>
                </c:pt>
                <c:pt idx="27">
                  <c:v>389.85796989517382</c:v>
                </c:pt>
                <c:pt idx="28">
                  <c:v>412.27612182560813</c:v>
                </c:pt>
                <c:pt idx="29">
                  <c:v>434.77528941414596</c:v>
                </c:pt>
                <c:pt idx="30">
                  <c:v>457.33923032725528</c:v>
                </c:pt>
                <c:pt idx="31">
                  <c:v>479.95489006876443</c:v>
                </c:pt>
                <c:pt idx="32">
                  <c:v>502.6118015410176</c:v>
                </c:pt>
                <c:pt idx="33">
                  <c:v>525.30158829714105</c:v>
                </c:pt>
                <c:pt idx="34">
                  <c:v>548.01755718497202</c:v>
                </c:pt>
                <c:pt idx="35">
                  <c:v>570.7543665684251</c:v>
                </c:pt>
                <c:pt idx="36">
                  <c:v>593.5077575368266</c:v>
                </c:pt>
                <c:pt idx="37">
                  <c:v>616.27433704762984</c:v>
                </c:pt>
                <c:pt idx="38">
                  <c:v>631.94391000000007</c:v>
                </c:pt>
                <c:pt idx="39">
                  <c:v>631.94391000000007</c:v>
                </c:pt>
                <c:pt idx="40">
                  <c:v>631.94391000000007</c:v>
                </c:pt>
                <c:pt idx="41">
                  <c:v>631.94391000000007</c:v>
                </c:pt>
                <c:pt idx="42">
                  <c:v>631.94391000000007</c:v>
                </c:pt>
                <c:pt idx="43">
                  <c:v>631.94391000000007</c:v>
                </c:pt>
              </c:numCache>
              <c:extLst/>
            </c:numRef>
          </c:val>
          <c:smooth val="0"/>
          <c:extLst>
            <c:ext xmlns:c16="http://schemas.microsoft.com/office/drawing/2014/chart" uri="{C3380CC4-5D6E-409C-BE32-E72D297353CC}">
              <c16:uniqueId val="{00000004-FADB-42D4-AD4B-ED72EECC1985}"/>
            </c:ext>
          </c:extLst>
        </c:ser>
        <c:ser>
          <c:idx val="1"/>
          <c:order val="5"/>
          <c:tx>
            <c:strRef>
              <c:f>'DL linkLevel'!$V$26</c:f>
              <c:strCache>
                <c:ptCount val="1"/>
                <c:pt idx="0">
                  <c:v>Mobile broadband live video</c:v>
                </c:pt>
              </c:strCache>
            </c:strRef>
          </c:tx>
          <c:spPr>
            <a:ln w="38100" cap="rnd">
              <a:solidFill>
                <a:schemeClr val="tx1">
                  <a:lumMod val="60000"/>
                  <a:lumOff val="40000"/>
                </a:schemeClr>
              </a:solidFill>
              <a:prstDash val="dash"/>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linkLevel'!$V$27:$V$69,'DL linkLevel'!$V$77)</c:f>
              <c:numCache>
                <c:formatCode>General</c:formatCode>
                <c:ptCount val="44"/>
                <c:pt idx="0">
                  <c:v>300</c:v>
                </c:pt>
                <c:pt idx="1">
                  <c:v>300</c:v>
                </c:pt>
                <c:pt idx="2">
                  <c:v>300</c:v>
                </c:pt>
                <c:pt idx="3">
                  <c:v>300</c:v>
                </c:pt>
                <c:pt idx="4">
                  <c:v>300</c:v>
                </c:pt>
                <c:pt idx="5">
                  <c:v>300</c:v>
                </c:pt>
                <c:pt idx="6">
                  <c:v>300</c:v>
                </c:pt>
                <c:pt idx="7">
                  <c:v>300</c:v>
                </c:pt>
                <c:pt idx="8">
                  <c:v>300</c:v>
                </c:pt>
                <c:pt idx="9">
                  <c:v>300</c:v>
                </c:pt>
                <c:pt idx="10">
                  <c:v>300</c:v>
                </c:pt>
                <c:pt idx="11">
                  <c:v>300</c:v>
                </c:pt>
                <c:pt idx="12">
                  <c:v>300</c:v>
                </c:pt>
                <c:pt idx="13">
                  <c:v>300</c:v>
                </c:pt>
                <c:pt idx="14">
                  <c:v>300</c:v>
                </c:pt>
                <c:pt idx="15">
                  <c:v>300</c:v>
                </c:pt>
                <c:pt idx="16">
                  <c:v>300</c:v>
                </c:pt>
                <c:pt idx="17">
                  <c:v>300</c:v>
                </c:pt>
                <c:pt idx="18">
                  <c:v>300</c:v>
                </c:pt>
                <c:pt idx="19">
                  <c:v>300</c:v>
                </c:pt>
                <c:pt idx="20">
                  <c:v>300</c:v>
                </c:pt>
                <c:pt idx="21">
                  <c:v>300</c:v>
                </c:pt>
                <c:pt idx="22">
                  <c:v>300</c:v>
                </c:pt>
                <c:pt idx="23">
                  <c:v>300</c:v>
                </c:pt>
                <c:pt idx="24">
                  <c:v>300</c:v>
                </c:pt>
                <c:pt idx="25">
                  <c:v>300</c:v>
                </c:pt>
                <c:pt idx="26">
                  <c:v>300</c:v>
                </c:pt>
                <c:pt idx="27">
                  <c:v>300</c:v>
                </c:pt>
                <c:pt idx="28">
                  <c:v>300</c:v>
                </c:pt>
                <c:pt idx="29">
                  <c:v>300</c:v>
                </c:pt>
                <c:pt idx="30">
                  <c:v>300</c:v>
                </c:pt>
                <c:pt idx="31">
                  <c:v>300</c:v>
                </c:pt>
                <c:pt idx="32">
                  <c:v>300</c:v>
                </c:pt>
                <c:pt idx="33">
                  <c:v>300</c:v>
                </c:pt>
                <c:pt idx="34">
                  <c:v>300</c:v>
                </c:pt>
                <c:pt idx="35">
                  <c:v>300</c:v>
                </c:pt>
                <c:pt idx="36">
                  <c:v>300</c:v>
                </c:pt>
                <c:pt idx="37">
                  <c:v>300</c:v>
                </c:pt>
                <c:pt idx="38">
                  <c:v>300</c:v>
                </c:pt>
                <c:pt idx="39">
                  <c:v>300</c:v>
                </c:pt>
                <c:pt idx="40">
                  <c:v>300</c:v>
                </c:pt>
                <c:pt idx="41">
                  <c:v>300</c:v>
                </c:pt>
                <c:pt idx="42">
                  <c:v>300</c:v>
                </c:pt>
                <c:pt idx="43">
                  <c:v>300</c:v>
                </c:pt>
              </c:numCache>
              <c:extLst/>
            </c:numRef>
          </c:val>
          <c:smooth val="0"/>
          <c:extLst>
            <c:ext xmlns:c16="http://schemas.microsoft.com/office/drawing/2014/chart" uri="{C3380CC4-5D6E-409C-BE32-E72D297353CC}">
              <c16:uniqueId val="{00000005-FADB-42D4-AD4B-ED72EECC1985}"/>
            </c:ext>
          </c:extLst>
        </c:ser>
        <c:ser>
          <c:idx val="0"/>
          <c:order val="6"/>
          <c:tx>
            <c:strRef>
              <c:f>'DL linkLevel'!$W$26</c:f>
              <c:strCache>
                <c:ptCount val="1"/>
                <c:pt idx="0">
                  <c:v>Professional mobile video 8K 2D; Cloud VR 2K@90fps</c:v>
                </c:pt>
              </c:strCache>
            </c:strRef>
          </c:tx>
          <c:spPr>
            <a:ln w="38100" cap="rnd">
              <a:solidFill>
                <a:schemeClr val="tx1">
                  <a:lumMod val="40000"/>
                  <a:lumOff val="60000"/>
                </a:schemeClr>
              </a:solidFill>
              <a:prstDash val="dash"/>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linkLevel'!$W$27:$W$69,'DL linkLevel'!$W$77)</c:f>
              <c:numCache>
                <c:formatCode>General</c:formatCode>
                <c:ptCount val="44"/>
                <c:pt idx="0">
                  <c:v>100</c:v>
                </c:pt>
                <c:pt idx="1">
                  <c:v>100</c:v>
                </c:pt>
                <c:pt idx="2">
                  <c:v>100</c:v>
                </c:pt>
                <c:pt idx="3">
                  <c:v>100</c:v>
                </c:pt>
                <c:pt idx="4">
                  <c:v>100</c:v>
                </c:pt>
                <c:pt idx="5">
                  <c:v>100</c:v>
                </c:pt>
                <c:pt idx="6">
                  <c:v>100</c:v>
                </c:pt>
                <c:pt idx="7">
                  <c:v>100</c:v>
                </c:pt>
                <c:pt idx="8">
                  <c:v>100</c:v>
                </c:pt>
                <c:pt idx="9">
                  <c:v>100</c:v>
                </c:pt>
                <c:pt idx="10">
                  <c:v>100</c:v>
                </c:pt>
                <c:pt idx="11">
                  <c:v>100</c:v>
                </c:pt>
                <c:pt idx="12">
                  <c:v>100</c:v>
                </c:pt>
                <c:pt idx="13">
                  <c:v>100</c:v>
                </c:pt>
                <c:pt idx="14">
                  <c:v>100</c:v>
                </c:pt>
                <c:pt idx="15">
                  <c:v>100</c:v>
                </c:pt>
                <c:pt idx="16">
                  <c:v>100</c:v>
                </c:pt>
                <c:pt idx="17">
                  <c:v>100</c:v>
                </c:pt>
                <c:pt idx="18">
                  <c:v>100</c:v>
                </c:pt>
                <c:pt idx="19">
                  <c:v>100</c:v>
                </c:pt>
                <c:pt idx="20">
                  <c:v>100</c:v>
                </c:pt>
                <c:pt idx="21">
                  <c:v>100</c:v>
                </c:pt>
                <c:pt idx="22">
                  <c:v>100</c:v>
                </c:pt>
                <c:pt idx="23">
                  <c:v>100</c:v>
                </c:pt>
                <c:pt idx="24">
                  <c:v>100</c:v>
                </c:pt>
                <c:pt idx="25">
                  <c:v>100</c:v>
                </c:pt>
                <c:pt idx="26">
                  <c:v>100</c:v>
                </c:pt>
                <c:pt idx="27">
                  <c:v>100</c:v>
                </c:pt>
                <c:pt idx="28">
                  <c:v>100</c:v>
                </c:pt>
                <c:pt idx="29">
                  <c:v>100</c:v>
                </c:pt>
                <c:pt idx="30">
                  <c:v>100</c:v>
                </c:pt>
                <c:pt idx="31">
                  <c:v>100</c:v>
                </c:pt>
                <c:pt idx="32">
                  <c:v>100</c:v>
                </c:pt>
                <c:pt idx="33">
                  <c:v>100</c:v>
                </c:pt>
                <c:pt idx="34">
                  <c:v>100</c:v>
                </c:pt>
                <c:pt idx="35">
                  <c:v>100</c:v>
                </c:pt>
                <c:pt idx="36">
                  <c:v>100</c:v>
                </c:pt>
                <c:pt idx="37">
                  <c:v>100</c:v>
                </c:pt>
                <c:pt idx="38">
                  <c:v>100</c:v>
                </c:pt>
                <c:pt idx="39">
                  <c:v>100</c:v>
                </c:pt>
                <c:pt idx="40">
                  <c:v>100</c:v>
                </c:pt>
                <c:pt idx="41">
                  <c:v>100</c:v>
                </c:pt>
                <c:pt idx="42">
                  <c:v>100</c:v>
                </c:pt>
                <c:pt idx="43">
                  <c:v>100</c:v>
                </c:pt>
              </c:numCache>
              <c:extLst/>
            </c:numRef>
          </c:val>
          <c:smooth val="0"/>
          <c:extLst>
            <c:ext xmlns:c16="http://schemas.microsoft.com/office/drawing/2014/chart" uri="{C3380CC4-5D6E-409C-BE32-E72D297353CC}">
              <c16:uniqueId val="{00000006-FADB-42D4-AD4B-ED72EECC1985}"/>
            </c:ext>
          </c:extLst>
        </c:ser>
        <c:ser>
          <c:idx val="2"/>
          <c:order val="7"/>
          <c:tx>
            <c:strRef>
              <c:f>'DL linkLevel'!$X$26</c:f>
              <c:strCache>
                <c:ptCount val="1"/>
                <c:pt idx="0">
                  <c:v>Cloud computer games for connected vehicles with 4K 3D graphics; Professional mobile video 4K 3D; Cloud VR 1018p@60fps</c:v>
                </c:pt>
              </c:strCache>
            </c:strRef>
          </c:tx>
          <c:spPr>
            <a:ln w="38100" cap="rnd">
              <a:solidFill>
                <a:schemeClr val="accent4">
                  <a:lumMod val="60000"/>
                  <a:lumOff val="40000"/>
                </a:schemeClr>
              </a:solidFill>
              <a:prstDash val="dash"/>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linkLevel'!$X$27:$X$69,'DL linkLevel'!$X$77)</c:f>
              <c:numCache>
                <c:formatCode>General</c:formatCode>
                <c:ptCount val="44"/>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pt idx="41">
                  <c:v>50</c:v>
                </c:pt>
                <c:pt idx="42">
                  <c:v>50</c:v>
                </c:pt>
                <c:pt idx="43">
                  <c:v>50</c:v>
                </c:pt>
              </c:numCache>
              <c:extLst/>
            </c:numRef>
          </c:val>
          <c:smooth val="0"/>
          <c:extLst>
            <c:ext xmlns:c16="http://schemas.microsoft.com/office/drawing/2014/chart" uri="{C3380CC4-5D6E-409C-BE32-E72D297353CC}">
              <c16:uniqueId val="{00000007-FADB-42D4-AD4B-ED72EECC1985}"/>
            </c:ext>
          </c:extLst>
        </c:ser>
        <c:ser>
          <c:idx val="5"/>
          <c:order val="8"/>
          <c:tx>
            <c:v>Scenario 6, DL</c:v>
          </c:tx>
          <c:spPr>
            <a:ln w="28575" cap="rnd">
              <a:solidFill>
                <a:schemeClr val="accent6"/>
              </a:solidFill>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 level performance'!#REF!</c:f>
              <c:extLst xmlns:c15="http://schemas.microsoft.com/office/drawing/2012/chart"/>
            </c:numRef>
          </c:val>
          <c:smooth val="0"/>
          <c:extLst xmlns:c15="http://schemas.microsoft.com/office/drawing/2012/chart">
            <c:ext xmlns:c16="http://schemas.microsoft.com/office/drawing/2014/chart" uri="{C3380CC4-5D6E-409C-BE32-E72D297353CC}">
              <c16:uniqueId val="{00000008-FADB-42D4-AD4B-ED72EECC1985}"/>
            </c:ext>
          </c:extLst>
        </c:ser>
        <c:ser>
          <c:idx val="9"/>
          <c:order val="9"/>
          <c:tx>
            <c:strRef>
              <c:f>'DL linkLevel'!$Y$26</c:f>
              <c:strCache>
                <c:ptCount val="1"/>
                <c:pt idx="0">
                  <c:v>Professional mobile video 4K 2D</c:v>
                </c:pt>
              </c:strCache>
            </c:strRef>
          </c:tx>
          <c:spPr>
            <a:ln w="38100" cap="rnd">
              <a:solidFill>
                <a:srgbClr val="00B0F0"/>
              </a:solidFill>
              <a:prstDash val="dash"/>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linkLevel'!$Y$27:$Y$69,'DL linkLevel'!$Y$77)</c:f>
              <c:numCache>
                <c:formatCode>General</c:formatCode>
                <c:ptCount val="44"/>
                <c:pt idx="0">
                  <c:v>25</c:v>
                </c:pt>
                <c:pt idx="1">
                  <c:v>25</c:v>
                </c:pt>
                <c:pt idx="2">
                  <c:v>25</c:v>
                </c:pt>
                <c:pt idx="3">
                  <c:v>25</c:v>
                </c:pt>
                <c:pt idx="4">
                  <c:v>25</c:v>
                </c:pt>
                <c:pt idx="5">
                  <c:v>25</c:v>
                </c:pt>
                <c:pt idx="6">
                  <c:v>25</c:v>
                </c:pt>
                <c:pt idx="7">
                  <c:v>25</c:v>
                </c:pt>
                <c:pt idx="8">
                  <c:v>25</c:v>
                </c:pt>
                <c:pt idx="9">
                  <c:v>25</c:v>
                </c:pt>
                <c:pt idx="10">
                  <c:v>25</c:v>
                </c:pt>
                <c:pt idx="11">
                  <c:v>25</c:v>
                </c:pt>
                <c:pt idx="12">
                  <c:v>25</c:v>
                </c:pt>
                <c:pt idx="13">
                  <c:v>25</c:v>
                </c:pt>
                <c:pt idx="14">
                  <c:v>25</c:v>
                </c:pt>
                <c:pt idx="15">
                  <c:v>25</c:v>
                </c:pt>
                <c:pt idx="16">
                  <c:v>25</c:v>
                </c:pt>
                <c:pt idx="17">
                  <c:v>25</c:v>
                </c:pt>
                <c:pt idx="18">
                  <c:v>25</c:v>
                </c:pt>
                <c:pt idx="19">
                  <c:v>25</c:v>
                </c:pt>
                <c:pt idx="20">
                  <c:v>25</c:v>
                </c:pt>
                <c:pt idx="21">
                  <c:v>25</c:v>
                </c:pt>
                <c:pt idx="22">
                  <c:v>25</c:v>
                </c:pt>
                <c:pt idx="23">
                  <c:v>25</c:v>
                </c:pt>
                <c:pt idx="24">
                  <c:v>25</c:v>
                </c:pt>
                <c:pt idx="25">
                  <c:v>25</c:v>
                </c:pt>
                <c:pt idx="26">
                  <c:v>25</c:v>
                </c:pt>
                <c:pt idx="27">
                  <c:v>25</c:v>
                </c:pt>
                <c:pt idx="28">
                  <c:v>25</c:v>
                </c:pt>
                <c:pt idx="29">
                  <c:v>25</c:v>
                </c:pt>
                <c:pt idx="30">
                  <c:v>25</c:v>
                </c:pt>
                <c:pt idx="31">
                  <c:v>25</c:v>
                </c:pt>
                <c:pt idx="32">
                  <c:v>25</c:v>
                </c:pt>
                <c:pt idx="33">
                  <c:v>25</c:v>
                </c:pt>
                <c:pt idx="34">
                  <c:v>25</c:v>
                </c:pt>
                <c:pt idx="35">
                  <c:v>25</c:v>
                </c:pt>
                <c:pt idx="36">
                  <c:v>25</c:v>
                </c:pt>
                <c:pt idx="37">
                  <c:v>25</c:v>
                </c:pt>
                <c:pt idx="38">
                  <c:v>25</c:v>
                </c:pt>
                <c:pt idx="39">
                  <c:v>25</c:v>
                </c:pt>
                <c:pt idx="40">
                  <c:v>25</c:v>
                </c:pt>
                <c:pt idx="41">
                  <c:v>25</c:v>
                </c:pt>
                <c:pt idx="42">
                  <c:v>25</c:v>
                </c:pt>
                <c:pt idx="43">
                  <c:v>25</c:v>
                </c:pt>
              </c:numCache>
              <c:extLst/>
            </c:numRef>
          </c:val>
          <c:smooth val="0"/>
          <c:extLst>
            <c:ext xmlns:c16="http://schemas.microsoft.com/office/drawing/2014/chart" uri="{C3380CC4-5D6E-409C-BE32-E72D297353CC}">
              <c16:uniqueId val="{00000009-FADB-42D4-AD4B-ED72EECC1985}"/>
            </c:ext>
          </c:extLst>
        </c:ser>
        <c:ser>
          <c:idx val="10"/>
          <c:order val="10"/>
          <c:tx>
            <c:strRef>
              <c:f>'DL linkLevel'!$Z$26</c:f>
              <c:strCache>
                <c:ptCount val="1"/>
                <c:pt idx="0">
                  <c:v>Cloud VR 720p@30fps</c:v>
                </c:pt>
              </c:strCache>
            </c:strRef>
          </c:tx>
          <c:spPr>
            <a:ln w="38100" cap="rnd">
              <a:solidFill>
                <a:srgbClr val="002060"/>
              </a:solidFill>
              <a:prstDash val="dash"/>
              <a:round/>
            </a:ln>
            <a:effectLst/>
          </c:spPr>
          <c:marker>
            <c:symbol val="none"/>
          </c:marker>
          <c:cat>
            <c:numRef>
              <c:f>('DL linkLevel'!$E$27:$E$69,'DL linkLevel'!$E$77)</c:f>
              <c:numCache>
                <c:formatCode>0</c:formatCode>
                <c:ptCount val="44"/>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40</c:v>
                </c:pt>
              </c:numCache>
              <c:extLst/>
            </c:numRef>
          </c:cat>
          <c:val>
            <c:numRef>
              <c:f>('DL linkLevel'!$Z$27:$Z$69,'DL linkLevel'!$Z$77)</c:f>
              <c:numCache>
                <c:formatCode>General</c:formatCode>
                <c:ptCount val="44"/>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pt idx="32">
                  <c:v>20</c:v>
                </c:pt>
                <c:pt idx="33">
                  <c:v>20</c:v>
                </c:pt>
                <c:pt idx="34">
                  <c:v>20</c:v>
                </c:pt>
                <c:pt idx="35">
                  <c:v>20</c:v>
                </c:pt>
                <c:pt idx="36">
                  <c:v>20</c:v>
                </c:pt>
                <c:pt idx="37">
                  <c:v>20</c:v>
                </c:pt>
                <c:pt idx="38">
                  <c:v>20</c:v>
                </c:pt>
                <c:pt idx="39">
                  <c:v>20</c:v>
                </c:pt>
                <c:pt idx="40">
                  <c:v>20</c:v>
                </c:pt>
                <c:pt idx="41">
                  <c:v>20</c:v>
                </c:pt>
                <c:pt idx="42">
                  <c:v>20</c:v>
                </c:pt>
                <c:pt idx="43">
                  <c:v>20</c:v>
                </c:pt>
              </c:numCache>
              <c:extLst/>
            </c:numRef>
          </c:val>
          <c:smooth val="0"/>
          <c:extLst>
            <c:ext xmlns:c16="http://schemas.microsoft.com/office/drawing/2014/chart" uri="{C3380CC4-5D6E-409C-BE32-E72D297353CC}">
              <c16:uniqueId val="{0000000A-FADB-42D4-AD4B-ED72EECC1985}"/>
            </c:ext>
          </c:extLst>
        </c:ser>
        <c:dLbls>
          <c:showLegendKey val="0"/>
          <c:showVal val="0"/>
          <c:showCatName val="0"/>
          <c:showSerName val="0"/>
          <c:showPercent val="0"/>
          <c:showBubbleSize val="0"/>
        </c:dLbls>
        <c:smooth val="0"/>
        <c:axId val="501444104"/>
        <c:axId val="501438528"/>
        <c:extLst/>
      </c:lineChart>
      <c:catAx>
        <c:axId val="501444104"/>
        <c:scaling>
          <c:orientation val="minMax"/>
        </c:scaling>
        <c:delete val="0"/>
        <c:axPos val="b"/>
        <c:majorGridlines>
          <c:spPr>
            <a:ln w="9525" cap="flat" cmpd="sng" algn="ctr">
              <a:solidFill>
                <a:schemeClr val="tx1">
                  <a:lumMod val="15000"/>
                  <a:lumOff val="85000"/>
                </a:schemeClr>
              </a:solidFill>
              <a:round/>
            </a:ln>
            <a:effectLst/>
          </c:spPr>
        </c:majorGridlines>
        <c:title>
          <c:tx>
            <c:strRef>
              <c:f>'DL linkLevel'!$C$7</c:f>
              <c:strCache>
                <c:ptCount val="1"/>
                <c:pt idx="0">
                  <c:v>SINR per layer (dB)</c:v>
                </c:pt>
              </c:strCache>
            </c:strRef>
          </c:tx>
          <c:layout>
            <c:manualLayout>
              <c:xMode val="edge"/>
              <c:yMode val="edge"/>
              <c:x val="0.3742168926699751"/>
              <c:y val="0.95744409263128871"/>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01438528"/>
        <c:crosses val="autoZero"/>
        <c:auto val="1"/>
        <c:lblAlgn val="ctr"/>
        <c:lblOffset val="100"/>
        <c:noMultiLvlLbl val="0"/>
      </c:catAx>
      <c:valAx>
        <c:axId val="501438528"/>
        <c:scaling>
          <c:logBase val="10"/>
          <c:orientation val="minMax"/>
          <c:max val="2000"/>
          <c:min val="10"/>
        </c:scaling>
        <c:delete val="0"/>
        <c:axPos val="l"/>
        <c:majorGridlines>
          <c:spPr>
            <a:ln w="9525" cap="flat" cmpd="sng" algn="ctr">
              <a:solidFill>
                <a:schemeClr val="tx1">
                  <a:lumMod val="40000"/>
                  <a:lumOff val="60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Single User Througput</a:t>
                </a:r>
                <a:r>
                  <a:rPr lang="en-GB" sz="2000" baseline="0"/>
                  <a:t> (SUT) Mbps</a:t>
                </a:r>
              </a:p>
              <a:p>
                <a:pPr>
                  <a:defRPr sz="2000"/>
                </a:pPr>
                <a:endParaRPr lang="en-GB" sz="2000"/>
              </a:p>
            </c:rich>
          </c:tx>
          <c:layout>
            <c:manualLayout>
              <c:xMode val="edge"/>
              <c:yMode val="edge"/>
              <c:x val="1.1890029770013121E-2"/>
              <c:y val="0.31867293818902342"/>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01444104"/>
        <c:crosses val="autoZero"/>
        <c:crossBetween val="between"/>
      </c:valAx>
      <c:spPr>
        <a:noFill/>
        <a:ln>
          <a:noFill/>
        </a:ln>
        <a:effectLst/>
      </c:spPr>
    </c:plotArea>
    <c:legend>
      <c:legendPos val="r"/>
      <c:layout>
        <c:manualLayout>
          <c:xMode val="edge"/>
          <c:yMode val="edge"/>
          <c:x val="0.70479433692124271"/>
          <c:y val="8.6330613242292659E-2"/>
          <c:w val="0.29520566829051742"/>
          <c:h val="0.8611280638769927"/>
        </c:manualLayout>
      </c:layout>
      <c:overlay val="0"/>
      <c:spPr>
        <a:noFill/>
        <a:ln w="12700">
          <a:noFill/>
        </a:ln>
        <a:effectLst/>
      </c:spPr>
      <c:txPr>
        <a:bodyPr rot="0" spcFirstLastPara="1" vertOverflow="ellipsis" vert="horz" wrap="square" anchor="ctr" anchorCtr="1"/>
        <a:lstStyle/>
        <a:p>
          <a:pPr rtl="0">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'UL linkLevel'!$C$8</c:f>
          <c:strCache>
            <c:ptCount val="1"/>
            <c:pt idx="0">
              <c:v>Uplink SUT Distribution (Uplink 25%)</c:v>
            </c:pt>
          </c:strCache>
        </c:strRef>
      </c:tx>
      <c:layout>
        <c:manualLayout>
          <c:xMode val="edge"/>
          <c:yMode val="edge"/>
          <c:x val="0.33685439648697096"/>
          <c:y val="2.57615945601783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1588135984741322E-2"/>
          <c:y val="8.7125829970016652E-2"/>
          <c:w val="0.61716358011185579"/>
          <c:h val="0.81829771832891607"/>
        </c:manualLayout>
      </c:layout>
      <c:lineChart>
        <c:grouping val="standard"/>
        <c:varyColors val="0"/>
        <c:ser>
          <c:idx val="7"/>
          <c:order val="1"/>
          <c:tx>
            <c:strRef>
              <c:f>'UL linkLevel'!$R$26</c:f>
              <c:strCache>
                <c:ptCount val="1"/>
                <c:pt idx="0">
                  <c:v>100 MHz TDD 2x2 SU-MIMO</c:v>
                </c:pt>
              </c:strCache>
            </c:strRef>
          </c:tx>
          <c:spPr>
            <a:ln w="38100" cap="rnd">
              <a:solidFill>
                <a:schemeClr val="accent5"/>
              </a:solidFill>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linkLevel'!$R$27:$R$67</c:f>
              <c:numCache>
                <c:formatCode>0.00</c:formatCode>
                <c:ptCount val="41"/>
                <c:pt idx="0">
                  <c:v>3.7163077363894939</c:v>
                </c:pt>
                <c:pt idx="1">
                  <c:v>4.6234856066286314</c:v>
                </c:pt>
                <c:pt idx="2">
                  <c:v>5.7363386760986996</c:v>
                </c:pt>
                <c:pt idx="3">
                  <c:v>7.0936336398965016</c:v>
                </c:pt>
                <c:pt idx="4">
                  <c:v>8.7378107944464816</c:v>
                </c:pt>
                <c:pt idx="5">
                  <c:v>10.713750398755478</c:v>
                </c:pt>
                <c:pt idx="6">
                  <c:v>13.066877564073701</c:v>
                </c:pt>
                <c:pt idx="7">
                  <c:v>15.840630820038408</c:v>
                </c:pt>
                <c:pt idx="8">
                  <c:v>19.073468785255756</c:v>
                </c:pt>
                <c:pt idx="9">
                  <c:v>22.795756263779118</c:v>
                </c:pt>
                <c:pt idx="10">
                  <c:v>27.027000000000001</c:v>
                </c:pt>
                <c:pt idx="11">
                  <c:v>31.773931325831192</c:v>
                </c:pt>
                <c:pt idx="12">
                  <c:v>37.029818909359904</c:v>
                </c:pt>
                <c:pt idx="13">
                  <c:v>42.775156006194635</c:v>
                </c:pt>
                <c:pt idx="14">
                  <c:v>48.979577812282017</c:v>
                </c:pt>
                <c:pt idx="15">
                  <c:v>55.604625709015856</c:v>
                </c:pt>
                <c:pt idx="16">
                  <c:v>62.606861166758932</c:v>
                </c:pt>
                <c:pt idx="17">
                  <c:v>69.940859074261027</c:v>
                </c:pt>
                <c:pt idx="18">
                  <c:v>77.561739172515317</c:v>
                </c:pt>
                <c:pt idx="19">
                  <c:v>85.427061165097314</c:v>
                </c:pt>
                <c:pt idx="20">
                  <c:v>93.498058356910249</c:v>
                </c:pt>
                <c:pt idx="21">
                  <c:v>101.74028655806747</c:v>
                </c:pt>
                <c:pt idx="22">
                  <c:v>110.123815143789</c:v>
                </c:pt>
                <c:pt idx="23">
                  <c:v>118.62309671092105</c:v>
                </c:pt>
                <c:pt idx="24">
                  <c:v>127.21663664077225</c:v>
                </c:pt>
                <c:pt idx="25">
                  <c:v>135.88655798764452</c:v>
                </c:pt>
                <c:pt idx="26">
                  <c:v>144.61812982087704</c:v>
                </c:pt>
                <c:pt idx="27">
                  <c:v>153.39930340608063</c:v>
                </c:pt>
                <c:pt idx="28">
                  <c:v>162.22028221204158</c:v>
                </c:pt>
                <c:pt idx="29">
                  <c:v>171.07313864133656</c:v>
                </c:pt>
                <c:pt idx="30">
                  <c:v>179.9514817443328</c:v>
                </c:pt>
                <c:pt idx="31">
                  <c:v>188.85017490520178</c:v>
                </c:pt>
                <c:pt idx="32">
                  <c:v>197.76509958433911</c:v>
                </c:pt>
                <c:pt idx="33">
                  <c:v>206.69295986062829</c:v>
                </c:pt>
                <c:pt idx="34">
                  <c:v>215.63112214707431</c:v>
                </c:pt>
                <c:pt idx="35">
                  <c:v>217.63798875000001</c:v>
                </c:pt>
                <c:pt idx="36">
                  <c:v>217.63798875000001</c:v>
                </c:pt>
                <c:pt idx="37">
                  <c:v>217.63798875000001</c:v>
                </c:pt>
                <c:pt idx="38">
                  <c:v>217.63798875000001</c:v>
                </c:pt>
                <c:pt idx="39">
                  <c:v>217.63798875000001</c:v>
                </c:pt>
                <c:pt idx="40">
                  <c:v>217.63798875000001</c:v>
                </c:pt>
              </c:numCache>
            </c:numRef>
          </c:val>
          <c:smooth val="0"/>
          <c:extLst>
            <c:ext xmlns:c16="http://schemas.microsoft.com/office/drawing/2014/chart" uri="{C3380CC4-5D6E-409C-BE32-E72D297353CC}">
              <c16:uniqueId val="{00000001-61F4-499C-8D28-EA267DE10851}"/>
            </c:ext>
          </c:extLst>
        </c:ser>
        <c:ser>
          <c:idx val="6"/>
          <c:order val="2"/>
          <c:tx>
            <c:strRef>
              <c:f>'UL linkLevel'!$O$26</c:f>
              <c:strCache>
                <c:ptCount val="1"/>
                <c:pt idx="0">
                  <c:v>80 MHz TDD 2x2 SU-MIMO</c:v>
                </c:pt>
              </c:strCache>
            </c:strRef>
          </c:tx>
          <c:spPr>
            <a:ln w="38100" cap="rnd">
              <a:solidFill>
                <a:schemeClr val="accent3"/>
              </a:solidFill>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linkLevel'!$O$27:$O$67</c:f>
              <c:numCache>
                <c:formatCode>0.00</c:formatCode>
                <c:ptCount val="41"/>
                <c:pt idx="0">
                  <c:v>2.9539882007198544</c:v>
                </c:pt>
                <c:pt idx="1">
                  <c:v>3.6750783027048093</c:v>
                </c:pt>
                <c:pt idx="2">
                  <c:v>4.5596538194630689</c:v>
                </c:pt>
                <c:pt idx="3">
                  <c:v>5.6385293035074762</c:v>
                </c:pt>
                <c:pt idx="4">
                  <c:v>6.9454393494318181</c:v>
                </c:pt>
                <c:pt idx="5">
                  <c:v>8.5160580092671747</c:v>
                </c:pt>
                <c:pt idx="6">
                  <c:v>10.386492422725251</c:v>
                </c:pt>
                <c:pt idx="7">
                  <c:v>12.591270651825402</c:v>
                </c:pt>
                <c:pt idx="8">
                  <c:v>15.160962367767395</c:v>
                </c:pt>
                <c:pt idx="9">
                  <c:v>18.11970369685007</c:v>
                </c:pt>
                <c:pt idx="10">
                  <c:v>21.483000000000004</c:v>
                </c:pt>
                <c:pt idx="11">
                  <c:v>25.256201823096593</c:v>
                </c:pt>
                <c:pt idx="12">
                  <c:v>29.433958620260441</c:v>
                </c:pt>
                <c:pt idx="13">
                  <c:v>34.00076503056497</c:v>
                </c:pt>
                <c:pt idx="14">
                  <c:v>38.93248492771135</c:v>
                </c:pt>
                <c:pt idx="15">
                  <c:v>44.198548640499787</c:v>
                </c:pt>
                <c:pt idx="16">
                  <c:v>49.764428106910948</c:v>
                </c:pt>
                <c:pt idx="17">
                  <c:v>55.594016187233123</c:v>
                </c:pt>
                <c:pt idx="18">
                  <c:v>61.65163882943525</c:v>
                </c:pt>
                <c:pt idx="19">
                  <c:v>67.903561438923518</c:v>
                </c:pt>
                <c:pt idx="20">
                  <c:v>74.318969463185084</c:v>
                </c:pt>
                <c:pt idx="21">
                  <c:v>80.87048418718183</c:v>
                </c:pt>
                <c:pt idx="22">
                  <c:v>87.534314601473312</c:v>
                </c:pt>
                <c:pt idx="23">
                  <c:v>94.290153795860334</c:v>
                </c:pt>
                <c:pt idx="24">
                  <c:v>101.12091630420359</c:v>
                </c:pt>
                <c:pt idx="25">
                  <c:v>108.01239224658923</c:v>
                </c:pt>
                <c:pt idx="26">
                  <c:v>114.95287242172277</c:v>
                </c:pt>
                <c:pt idx="27">
                  <c:v>121.93277963047434</c:v>
                </c:pt>
                <c:pt idx="28">
                  <c:v>128.94432688649459</c:v>
                </c:pt>
                <c:pt idx="29">
                  <c:v>135.98121276619059</c:v>
                </c:pt>
                <c:pt idx="30">
                  <c:v>143.03835728395683</c:v>
                </c:pt>
                <c:pt idx="31">
                  <c:v>150.11167748875013</c:v>
                </c:pt>
                <c:pt idx="32">
                  <c:v>157.19789966960289</c:v>
                </c:pt>
                <c:pt idx="33">
                  <c:v>164.29440399178145</c:v>
                </c:pt>
                <c:pt idx="34">
                  <c:v>171.39909709126422</c:v>
                </c:pt>
                <c:pt idx="35">
                  <c:v>172.99429875000001</c:v>
                </c:pt>
                <c:pt idx="36">
                  <c:v>172.99429875000001</c:v>
                </c:pt>
                <c:pt idx="37">
                  <c:v>172.99429875000001</c:v>
                </c:pt>
                <c:pt idx="38">
                  <c:v>172.99429875000001</c:v>
                </c:pt>
                <c:pt idx="39">
                  <c:v>172.99429875000001</c:v>
                </c:pt>
                <c:pt idx="40">
                  <c:v>172.99429875000001</c:v>
                </c:pt>
              </c:numCache>
            </c:numRef>
          </c:val>
          <c:smooth val="0"/>
          <c:extLst>
            <c:ext xmlns:c16="http://schemas.microsoft.com/office/drawing/2014/chart" uri="{C3380CC4-5D6E-409C-BE32-E72D297353CC}">
              <c16:uniqueId val="{00000002-61F4-499C-8D28-EA267DE10851}"/>
            </c:ext>
          </c:extLst>
        </c:ser>
        <c:ser>
          <c:idx val="4"/>
          <c:order val="3"/>
          <c:tx>
            <c:strRef>
              <c:f>'UL linkLevel'!$L$26</c:f>
              <c:strCache>
                <c:ptCount val="1"/>
                <c:pt idx="0">
                  <c:v>50 MHz TDD 2x2 SU-MIMO</c:v>
                </c:pt>
              </c:strCache>
            </c:strRef>
          </c:tx>
          <c:spPr>
            <a:ln w="38100" cap="rnd">
              <a:solidFill>
                <a:srgbClr val="C00000"/>
              </a:solidFill>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linkLevel'!$L$27:$L$67</c:f>
              <c:numCache>
                <c:formatCode>0.00</c:formatCode>
                <c:ptCount val="41"/>
                <c:pt idx="0">
                  <c:v>1.8105088972153944</c:v>
                </c:pt>
                <c:pt idx="1">
                  <c:v>2.2524673468190768</c:v>
                </c:pt>
                <c:pt idx="2">
                  <c:v>2.7946265345096228</c:v>
                </c:pt>
                <c:pt idx="3">
                  <c:v>3.4558727989239371</c:v>
                </c:pt>
                <c:pt idx="4">
                  <c:v>4.2568821819098241</c:v>
                </c:pt>
                <c:pt idx="5">
                  <c:v>5.2195194250347203</c:v>
                </c:pt>
                <c:pt idx="6">
                  <c:v>6.3659147107025724</c:v>
                </c:pt>
                <c:pt idx="7">
                  <c:v>7.7172303995058913</c:v>
                </c:pt>
                <c:pt idx="8">
                  <c:v>9.2922027415348545</c:v>
                </c:pt>
                <c:pt idx="9">
                  <c:v>11.105624846456493</c:v>
                </c:pt>
                <c:pt idx="10">
                  <c:v>13.167000000000002</c:v>
                </c:pt>
                <c:pt idx="11">
                  <c:v>15.479607568994686</c:v>
                </c:pt>
                <c:pt idx="12">
                  <c:v>18.040168186611236</c:v>
                </c:pt>
                <c:pt idx="13">
                  <c:v>20.839178567120463</c:v>
                </c:pt>
                <c:pt idx="14">
                  <c:v>23.861845600855343</c:v>
                </c:pt>
                <c:pt idx="15">
                  <c:v>27.089433037725676</c:v>
                </c:pt>
                <c:pt idx="16">
                  <c:v>30.500778517138968</c:v>
                </c:pt>
                <c:pt idx="17">
                  <c:v>34.073751856691267</c:v>
                </c:pt>
                <c:pt idx="18">
                  <c:v>37.786488314815152</c:v>
                </c:pt>
                <c:pt idx="19">
                  <c:v>41.618311849662796</c:v>
                </c:pt>
                <c:pt idx="20">
                  <c:v>45.550336122597308</c:v>
                </c:pt>
                <c:pt idx="21">
                  <c:v>49.565780630853382</c:v>
                </c:pt>
                <c:pt idx="22">
                  <c:v>53.650063787999777</c:v>
                </c:pt>
                <c:pt idx="23">
                  <c:v>57.79073942326923</c:v>
                </c:pt>
                <c:pt idx="24">
                  <c:v>61.977335799350584</c:v>
                </c:pt>
                <c:pt idx="25">
                  <c:v>66.201143635006304</c:v>
                </c:pt>
                <c:pt idx="26">
                  <c:v>70.454986322991374</c:v>
                </c:pt>
                <c:pt idx="27">
                  <c:v>74.732993967064914</c:v>
                </c:pt>
                <c:pt idx="28">
                  <c:v>79.030393898174111</c:v>
                </c:pt>
                <c:pt idx="29">
                  <c:v>83.343323953471653</c:v>
                </c:pt>
                <c:pt idx="30">
                  <c:v>87.668670593392903</c:v>
                </c:pt>
                <c:pt idx="31">
                  <c:v>92.003931364072656</c:v>
                </c:pt>
                <c:pt idx="32">
                  <c:v>96.347099797498544</c:v>
                </c:pt>
                <c:pt idx="33">
                  <c:v>100.69657018851122</c:v>
                </c:pt>
                <c:pt idx="34">
                  <c:v>105.05105950754903</c:v>
                </c:pt>
                <c:pt idx="35">
                  <c:v>106.02876375000001</c:v>
                </c:pt>
                <c:pt idx="36">
                  <c:v>106.02876375000001</c:v>
                </c:pt>
                <c:pt idx="37">
                  <c:v>106.02876375000001</c:v>
                </c:pt>
                <c:pt idx="38">
                  <c:v>106.02876375000001</c:v>
                </c:pt>
                <c:pt idx="39">
                  <c:v>106.02876375000001</c:v>
                </c:pt>
                <c:pt idx="40">
                  <c:v>106.02876375000001</c:v>
                </c:pt>
              </c:numCache>
            </c:numRef>
          </c:val>
          <c:smooth val="0"/>
          <c:extLst>
            <c:ext xmlns:c16="http://schemas.microsoft.com/office/drawing/2014/chart" uri="{C3380CC4-5D6E-409C-BE32-E72D297353CC}">
              <c16:uniqueId val="{00000003-61F4-499C-8D28-EA267DE10851}"/>
            </c:ext>
          </c:extLst>
        </c:ser>
        <c:ser>
          <c:idx val="3"/>
          <c:order val="4"/>
          <c:tx>
            <c:strRef>
              <c:f>'UL linkLevel'!$I$26</c:f>
              <c:strCache>
                <c:ptCount val="1"/>
                <c:pt idx="0">
                  <c:v>40 MHz TDD 2x2 SU-MIMO</c:v>
                </c:pt>
              </c:strCache>
            </c:strRef>
          </c:tx>
          <c:spPr>
            <a:ln w="38100" cap="rnd">
              <a:solidFill>
                <a:schemeClr val="bg2"/>
              </a:solidFill>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linkLevel'!$I$27:$I$67</c:f>
              <c:numCache>
                <c:formatCode>0.00</c:formatCode>
                <c:ptCount val="41"/>
                <c:pt idx="0">
                  <c:v>1.4429619782318179</c:v>
                </c:pt>
                <c:pt idx="1">
                  <c:v>1.795199539570091</c:v>
                </c:pt>
                <c:pt idx="2">
                  <c:v>2.2272963357745863</c:v>
                </c:pt>
                <c:pt idx="3">
                  <c:v>2.7543046367363702</c:v>
                </c:pt>
                <c:pt idx="4">
                  <c:v>3.3927030923491825</c:v>
                </c:pt>
                <c:pt idx="5">
                  <c:v>4.1599177372457161</c:v>
                </c:pt>
                <c:pt idx="6">
                  <c:v>5.073586160409568</c:v>
                </c:pt>
                <c:pt idx="7">
                  <c:v>6.1505746041174767</c:v>
                </c:pt>
                <c:pt idx="8">
                  <c:v>7.4058157188172515</c:v>
                </c:pt>
                <c:pt idx="9">
                  <c:v>8.8510995016871288</c:v>
                </c:pt>
                <c:pt idx="10">
                  <c:v>10.494</c:v>
                </c:pt>
                <c:pt idx="11">
                  <c:v>12.337130844461928</c:v>
                </c:pt>
                <c:pt idx="12">
                  <c:v>14.377878404366848</c:v>
                </c:pt>
                <c:pt idx="13">
                  <c:v>16.608668632441873</c:v>
                </c:pt>
                <c:pt idx="14">
                  <c:v>19.017711531508766</c:v>
                </c:pt>
                <c:pt idx="15">
                  <c:v>21.590074451119708</c:v>
                </c:pt>
                <c:pt idx="16">
                  <c:v>24.308891148997969</c:v>
                </c:pt>
                <c:pt idx="17">
                  <c:v>27.156524036159954</c:v>
                </c:pt>
                <c:pt idx="18">
                  <c:v>30.115547077972977</c:v>
                </c:pt>
                <c:pt idx="19">
                  <c:v>33.16948162454328</c:v>
                </c:pt>
                <c:pt idx="20">
                  <c:v>36.303275405979804</c:v>
                </c:pt>
                <c:pt idx="21">
                  <c:v>39.503554487747806</c:v>
                </c:pt>
                <c:pt idx="22">
                  <c:v>42.758697455097561</c:v>
                </c:pt>
                <c:pt idx="23">
                  <c:v>46.058784803507805</c:v>
                </c:pt>
                <c:pt idx="24">
                  <c:v>49.3954706370764</c:v>
                </c:pt>
                <c:pt idx="25">
                  <c:v>52.761813724140353</c:v>
                </c:pt>
                <c:pt idx="26">
                  <c:v>56.152094362684849</c:v>
                </c:pt>
                <c:pt idx="27">
                  <c:v>59.561634289540457</c:v>
                </c:pt>
                <c:pt idx="28">
                  <c:v>62.986629723356799</c:v>
                </c:pt>
                <c:pt idx="29">
                  <c:v>66.424002549383417</c:v>
                </c:pt>
                <c:pt idx="30">
                  <c:v>69.871271299997346</c:v>
                </c:pt>
                <c:pt idx="31">
                  <c:v>73.326441538283461</c:v>
                </c:pt>
                <c:pt idx="32">
                  <c:v>76.787914124322128</c:v>
                </c:pt>
                <c:pt idx="33">
                  <c:v>80.254409323174343</c:v>
                </c:pt>
                <c:pt idx="34">
                  <c:v>83.724904569926281</c:v>
                </c:pt>
                <c:pt idx="35">
                  <c:v>84.504127499999996</c:v>
                </c:pt>
                <c:pt idx="36">
                  <c:v>84.504127499999996</c:v>
                </c:pt>
                <c:pt idx="37">
                  <c:v>84.504127499999996</c:v>
                </c:pt>
                <c:pt idx="38">
                  <c:v>84.504127499999996</c:v>
                </c:pt>
                <c:pt idx="39">
                  <c:v>84.504127499999996</c:v>
                </c:pt>
                <c:pt idx="40">
                  <c:v>84.504127499999996</c:v>
                </c:pt>
              </c:numCache>
            </c:numRef>
          </c:val>
          <c:smooth val="0"/>
          <c:extLst>
            <c:ext xmlns:c16="http://schemas.microsoft.com/office/drawing/2014/chart" uri="{C3380CC4-5D6E-409C-BE32-E72D297353CC}">
              <c16:uniqueId val="{00000004-61F4-499C-8D28-EA267DE10851}"/>
            </c:ext>
          </c:extLst>
        </c:ser>
        <c:ser>
          <c:idx val="1"/>
          <c:order val="5"/>
          <c:tx>
            <c:strRef>
              <c:f>'UL linkLevel'!$V$26</c:f>
              <c:strCache>
                <c:ptCount val="1"/>
                <c:pt idx="0">
                  <c:v>Mobile broadband live video; Cloud computer games for connected vehicles with 4K 3D graphics</c:v>
                </c:pt>
              </c:strCache>
            </c:strRef>
          </c:tx>
          <c:spPr>
            <a:ln w="38100" cap="rnd">
              <a:solidFill>
                <a:schemeClr val="tx1">
                  <a:lumMod val="60000"/>
                  <a:lumOff val="40000"/>
                </a:schemeClr>
              </a:solidFill>
              <a:prstDash val="dash"/>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linkLevel'!$V$27:$V$67</c:f>
              <c:numCache>
                <c:formatCode>General</c:formatCode>
                <c:ptCount val="41"/>
                <c:pt idx="0">
                  <c:v>50</c:v>
                </c:pt>
                <c:pt idx="1">
                  <c:v>50</c:v>
                </c:pt>
                <c:pt idx="2">
                  <c:v>50</c:v>
                </c:pt>
                <c:pt idx="3">
                  <c:v>50</c:v>
                </c:pt>
                <c:pt idx="4">
                  <c:v>50</c:v>
                </c:pt>
                <c:pt idx="5">
                  <c:v>50</c:v>
                </c:pt>
                <c:pt idx="6">
                  <c:v>50</c:v>
                </c:pt>
                <c:pt idx="7">
                  <c:v>50</c:v>
                </c:pt>
                <c:pt idx="8">
                  <c:v>50</c:v>
                </c:pt>
                <c:pt idx="9">
                  <c:v>50</c:v>
                </c:pt>
                <c:pt idx="10">
                  <c:v>50</c:v>
                </c:pt>
                <c:pt idx="11">
                  <c:v>50</c:v>
                </c:pt>
                <c:pt idx="12">
                  <c:v>50</c:v>
                </c:pt>
                <c:pt idx="13">
                  <c:v>50</c:v>
                </c:pt>
                <c:pt idx="14">
                  <c:v>50</c:v>
                </c:pt>
                <c:pt idx="15">
                  <c:v>50</c:v>
                </c:pt>
                <c:pt idx="16">
                  <c:v>50</c:v>
                </c:pt>
                <c:pt idx="17">
                  <c:v>50</c:v>
                </c:pt>
                <c:pt idx="18">
                  <c:v>50</c:v>
                </c:pt>
                <c:pt idx="19">
                  <c:v>50</c:v>
                </c:pt>
                <c:pt idx="20">
                  <c:v>50</c:v>
                </c:pt>
                <c:pt idx="21">
                  <c:v>50</c:v>
                </c:pt>
                <c:pt idx="22">
                  <c:v>50</c:v>
                </c:pt>
                <c:pt idx="23">
                  <c:v>50</c:v>
                </c:pt>
                <c:pt idx="24">
                  <c:v>50</c:v>
                </c:pt>
                <c:pt idx="25">
                  <c:v>50</c:v>
                </c:pt>
                <c:pt idx="26">
                  <c:v>50</c:v>
                </c:pt>
                <c:pt idx="27">
                  <c:v>50</c:v>
                </c:pt>
                <c:pt idx="28">
                  <c:v>50</c:v>
                </c:pt>
                <c:pt idx="29">
                  <c:v>50</c:v>
                </c:pt>
                <c:pt idx="30">
                  <c:v>50</c:v>
                </c:pt>
                <c:pt idx="31">
                  <c:v>50</c:v>
                </c:pt>
                <c:pt idx="32">
                  <c:v>50</c:v>
                </c:pt>
                <c:pt idx="33">
                  <c:v>50</c:v>
                </c:pt>
                <c:pt idx="34">
                  <c:v>50</c:v>
                </c:pt>
                <c:pt idx="35">
                  <c:v>50</c:v>
                </c:pt>
                <c:pt idx="36">
                  <c:v>50</c:v>
                </c:pt>
                <c:pt idx="37">
                  <c:v>50</c:v>
                </c:pt>
                <c:pt idx="38">
                  <c:v>50</c:v>
                </c:pt>
                <c:pt idx="39">
                  <c:v>50</c:v>
                </c:pt>
                <c:pt idx="40">
                  <c:v>50</c:v>
                </c:pt>
              </c:numCache>
            </c:numRef>
          </c:val>
          <c:smooth val="0"/>
          <c:extLst xmlns:c15="http://schemas.microsoft.com/office/drawing/2012/chart">
            <c:ext xmlns:c16="http://schemas.microsoft.com/office/drawing/2014/chart" uri="{C3380CC4-5D6E-409C-BE32-E72D297353CC}">
              <c16:uniqueId val="{00000005-61F4-499C-8D28-EA267DE10851}"/>
            </c:ext>
          </c:extLst>
        </c:ser>
        <c:ser>
          <c:idx val="0"/>
          <c:order val="6"/>
          <c:tx>
            <c:strRef>
              <c:f>'UL linkLevel'!$W$26</c:f>
              <c:strCache>
                <c:ptCount val="1"/>
                <c:pt idx="0">
                  <c:v>service 2</c:v>
                </c:pt>
              </c:strCache>
            </c:strRef>
          </c:tx>
          <c:spPr>
            <a:ln w="38100" cap="rnd">
              <a:solidFill>
                <a:schemeClr val="accent4"/>
              </a:solidFill>
              <a:prstDash val="dash"/>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linkLevel'!$W$27:$W$67</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6-61F4-499C-8D28-EA267DE10851}"/>
            </c:ext>
          </c:extLst>
        </c:ser>
        <c:ser>
          <c:idx val="2"/>
          <c:order val="7"/>
          <c:tx>
            <c:strRef>
              <c:f>'UL linkLevel'!$X$26</c:f>
              <c:strCache>
                <c:ptCount val="1"/>
                <c:pt idx="0">
                  <c:v>Connectivity for drones</c:v>
                </c:pt>
              </c:strCache>
            </c:strRef>
          </c:tx>
          <c:spPr>
            <a:ln w="38100" cap="rnd">
              <a:solidFill>
                <a:schemeClr val="tx1">
                  <a:lumMod val="40000"/>
                  <a:lumOff val="60000"/>
                </a:schemeClr>
              </a:solidFill>
              <a:prstDash val="dash"/>
              <a:round/>
            </a:ln>
            <a:effectLst/>
          </c:spPr>
          <c:marker>
            <c:symbol val="none"/>
          </c:marker>
          <c:cat>
            <c:numRef>
              <c:f>'UL linkLevel'!$E$27:$E$67</c:f>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f>'UL linkLevel'!$X$27:$X$67</c:f>
              <c:numCache>
                <c:formatCode>General</c:formatCode>
                <c:ptCount val="41"/>
                <c:pt idx="0">
                  <c:v>20</c:v>
                </c:pt>
                <c:pt idx="1">
                  <c:v>20</c:v>
                </c:pt>
                <c:pt idx="2">
                  <c:v>20</c:v>
                </c:pt>
                <c:pt idx="3">
                  <c:v>20</c:v>
                </c:pt>
                <c:pt idx="4">
                  <c:v>20</c:v>
                </c:pt>
                <c:pt idx="5">
                  <c:v>20</c:v>
                </c:pt>
                <c:pt idx="6">
                  <c:v>20</c:v>
                </c:pt>
                <c:pt idx="7">
                  <c:v>20</c:v>
                </c:pt>
                <c:pt idx="8">
                  <c:v>20</c:v>
                </c:pt>
                <c:pt idx="9">
                  <c:v>20</c:v>
                </c:pt>
                <c:pt idx="10">
                  <c:v>20</c:v>
                </c:pt>
                <c:pt idx="11">
                  <c:v>20</c:v>
                </c:pt>
                <c:pt idx="12">
                  <c:v>20</c:v>
                </c:pt>
                <c:pt idx="13">
                  <c:v>20</c:v>
                </c:pt>
                <c:pt idx="14">
                  <c:v>20</c:v>
                </c:pt>
                <c:pt idx="15">
                  <c:v>20</c:v>
                </c:pt>
                <c:pt idx="16">
                  <c:v>20</c:v>
                </c:pt>
                <c:pt idx="17">
                  <c:v>20</c:v>
                </c:pt>
                <c:pt idx="18">
                  <c:v>20</c:v>
                </c:pt>
                <c:pt idx="19">
                  <c:v>20</c:v>
                </c:pt>
                <c:pt idx="20">
                  <c:v>20</c:v>
                </c:pt>
                <c:pt idx="21">
                  <c:v>20</c:v>
                </c:pt>
                <c:pt idx="22">
                  <c:v>20</c:v>
                </c:pt>
                <c:pt idx="23">
                  <c:v>20</c:v>
                </c:pt>
                <c:pt idx="24">
                  <c:v>20</c:v>
                </c:pt>
                <c:pt idx="25">
                  <c:v>20</c:v>
                </c:pt>
                <c:pt idx="26">
                  <c:v>20</c:v>
                </c:pt>
                <c:pt idx="27">
                  <c:v>20</c:v>
                </c:pt>
                <c:pt idx="28">
                  <c:v>20</c:v>
                </c:pt>
                <c:pt idx="29">
                  <c:v>20</c:v>
                </c:pt>
                <c:pt idx="30">
                  <c:v>20</c:v>
                </c:pt>
                <c:pt idx="31">
                  <c:v>20</c:v>
                </c:pt>
                <c:pt idx="32">
                  <c:v>20</c:v>
                </c:pt>
                <c:pt idx="33">
                  <c:v>20</c:v>
                </c:pt>
                <c:pt idx="34">
                  <c:v>20</c:v>
                </c:pt>
                <c:pt idx="35">
                  <c:v>20</c:v>
                </c:pt>
                <c:pt idx="36">
                  <c:v>20</c:v>
                </c:pt>
                <c:pt idx="37">
                  <c:v>20</c:v>
                </c:pt>
                <c:pt idx="38">
                  <c:v>20</c:v>
                </c:pt>
                <c:pt idx="39">
                  <c:v>20</c:v>
                </c:pt>
                <c:pt idx="40">
                  <c:v>20</c:v>
                </c:pt>
              </c:numCache>
            </c:numRef>
          </c:val>
          <c:smooth val="0"/>
          <c:extLst>
            <c:ext xmlns:c16="http://schemas.microsoft.com/office/drawing/2014/chart" uri="{C3380CC4-5D6E-409C-BE32-E72D297353CC}">
              <c16:uniqueId val="{00000007-61F4-499C-8D28-EA267DE10851}"/>
            </c:ext>
          </c:extLst>
        </c:ser>
        <c:ser>
          <c:idx val="5"/>
          <c:order val="8"/>
          <c:tx>
            <c:v>Scenario 6, DL</c:v>
          </c:tx>
          <c:spPr>
            <a:ln w="28575" cap="rnd">
              <a:solidFill>
                <a:schemeClr val="accent6"/>
              </a:solidFill>
              <a:round/>
            </a:ln>
            <a:effectLst/>
          </c:spPr>
          <c:marker>
            <c:symbol val="none"/>
          </c:marker>
          <c:cat>
            <c:numRef>
              <c:f>'DL linkLevel'!$E$27:$E$77</c:f>
              <c:numCache>
                <c:formatCode>0</c:formatCode>
                <c:ptCount val="5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pt idx="41">
                  <c:v>31</c:v>
                </c:pt>
                <c:pt idx="42">
                  <c:v>32</c:v>
                </c:pt>
                <c:pt idx="43">
                  <c:v>33</c:v>
                </c:pt>
                <c:pt idx="44">
                  <c:v>34</c:v>
                </c:pt>
                <c:pt idx="45">
                  <c:v>35</c:v>
                </c:pt>
                <c:pt idx="46">
                  <c:v>36</c:v>
                </c:pt>
                <c:pt idx="47">
                  <c:v>37</c:v>
                </c:pt>
                <c:pt idx="48">
                  <c:v>38</c:v>
                </c:pt>
                <c:pt idx="49">
                  <c:v>39</c:v>
                </c:pt>
                <c:pt idx="50">
                  <c:v>40</c:v>
                </c:pt>
              </c:numCache>
            </c:numRef>
          </c:cat>
          <c:val>
            <c:numRef>
              <c:f>'DL Link level performance'!#REF!</c:f>
              <c:extLst xmlns:c15="http://schemas.microsoft.com/office/drawing/2012/chart"/>
            </c:numRef>
          </c:val>
          <c:smooth val="0"/>
          <c:extLst xmlns:c15="http://schemas.microsoft.com/office/drawing/2012/chart">
            <c:ext xmlns:c16="http://schemas.microsoft.com/office/drawing/2014/chart" uri="{C3380CC4-5D6E-409C-BE32-E72D297353CC}">
              <c16:uniqueId val="{00000008-61F4-499C-8D28-EA267DE10851}"/>
            </c:ext>
          </c:extLst>
        </c:ser>
        <c:dLbls>
          <c:showLegendKey val="0"/>
          <c:showVal val="0"/>
          <c:showCatName val="0"/>
          <c:showSerName val="0"/>
          <c:showPercent val="0"/>
          <c:showBubbleSize val="0"/>
        </c:dLbls>
        <c:smooth val="0"/>
        <c:axId val="501444104"/>
        <c:axId val="501438528"/>
        <c:extLst>
          <c:ext xmlns:c15="http://schemas.microsoft.com/office/drawing/2012/chart" uri="{02D57815-91ED-43cb-92C2-25804820EDAC}">
            <c15:filteredLineSeries>
              <c15:ser>
                <c:idx val="8"/>
                <c:order val="0"/>
                <c:tx>
                  <c:strRef>
                    <c:extLst>
                      <c:ext uri="{02D57815-91ED-43cb-92C2-25804820EDAC}">
                        <c15:formulaRef>
                          <c15:sqref>'UL linkLevel'!$U$26</c15:sqref>
                        </c15:formulaRef>
                      </c:ext>
                    </c:extLst>
                    <c:strCache>
                      <c:ptCount val="1"/>
                      <c:pt idx="0">
                        <c:v>0</c:v>
                      </c:pt>
                    </c:strCache>
                  </c:strRef>
                </c:tx>
                <c:spPr>
                  <a:ln w="38100" cap="rnd">
                    <a:solidFill>
                      <a:schemeClr val="accent6"/>
                    </a:solidFill>
                    <a:round/>
                  </a:ln>
                  <a:effectLst/>
                </c:spPr>
                <c:marker>
                  <c:symbol val="none"/>
                </c:marker>
                <c:cat>
                  <c:numRef>
                    <c:extLst>
                      <c:ext uri="{02D57815-91ED-43cb-92C2-25804820EDAC}">
                        <c15:formulaRef>
                          <c15:sqref>'UL linkLevel'!$E$27:$E$67</c15:sqref>
                        </c15:formulaRef>
                      </c:ext>
                    </c:extLst>
                    <c:numCache>
                      <c:formatCode>0</c:formatCode>
                      <c:ptCount val="41"/>
                      <c:pt idx="0">
                        <c:v>-10</c:v>
                      </c:pt>
                      <c:pt idx="1">
                        <c:v>-9</c:v>
                      </c:pt>
                      <c:pt idx="2">
                        <c:v>-8</c:v>
                      </c:pt>
                      <c:pt idx="3">
                        <c:v>-7</c:v>
                      </c:pt>
                      <c:pt idx="4">
                        <c:v>-6</c:v>
                      </c:pt>
                      <c:pt idx="5">
                        <c:v>-5</c:v>
                      </c:pt>
                      <c:pt idx="6">
                        <c:v>-4</c:v>
                      </c:pt>
                      <c:pt idx="7">
                        <c:v>-3</c:v>
                      </c:pt>
                      <c:pt idx="8">
                        <c:v>-2</c:v>
                      </c:pt>
                      <c:pt idx="9">
                        <c:v>-1</c:v>
                      </c:pt>
                      <c:pt idx="10">
                        <c:v>0</c:v>
                      </c:pt>
                      <c:pt idx="11">
                        <c:v>1</c:v>
                      </c:pt>
                      <c:pt idx="12">
                        <c:v>2</c:v>
                      </c:pt>
                      <c:pt idx="13">
                        <c:v>3</c:v>
                      </c:pt>
                      <c:pt idx="14">
                        <c:v>4</c:v>
                      </c:pt>
                      <c:pt idx="15">
                        <c:v>5</c:v>
                      </c:pt>
                      <c:pt idx="16">
                        <c:v>6</c:v>
                      </c:pt>
                      <c:pt idx="17">
                        <c:v>7</c:v>
                      </c:pt>
                      <c:pt idx="18">
                        <c:v>8</c:v>
                      </c:pt>
                      <c:pt idx="19">
                        <c:v>9</c:v>
                      </c:pt>
                      <c:pt idx="20">
                        <c:v>10</c:v>
                      </c:pt>
                      <c:pt idx="21">
                        <c:v>11</c:v>
                      </c:pt>
                      <c:pt idx="22">
                        <c:v>12</c:v>
                      </c:pt>
                      <c:pt idx="23">
                        <c:v>13</c:v>
                      </c:pt>
                      <c:pt idx="24">
                        <c:v>14</c:v>
                      </c:pt>
                      <c:pt idx="25">
                        <c:v>15</c:v>
                      </c:pt>
                      <c:pt idx="26">
                        <c:v>16</c:v>
                      </c:pt>
                      <c:pt idx="27">
                        <c:v>17</c:v>
                      </c:pt>
                      <c:pt idx="28">
                        <c:v>18</c:v>
                      </c:pt>
                      <c:pt idx="29">
                        <c:v>19</c:v>
                      </c:pt>
                      <c:pt idx="30">
                        <c:v>20</c:v>
                      </c:pt>
                      <c:pt idx="31">
                        <c:v>21</c:v>
                      </c:pt>
                      <c:pt idx="32">
                        <c:v>22</c:v>
                      </c:pt>
                      <c:pt idx="33">
                        <c:v>23</c:v>
                      </c:pt>
                      <c:pt idx="34">
                        <c:v>24</c:v>
                      </c:pt>
                      <c:pt idx="35">
                        <c:v>25</c:v>
                      </c:pt>
                      <c:pt idx="36">
                        <c:v>26</c:v>
                      </c:pt>
                      <c:pt idx="37">
                        <c:v>27</c:v>
                      </c:pt>
                      <c:pt idx="38">
                        <c:v>28</c:v>
                      </c:pt>
                      <c:pt idx="39">
                        <c:v>29</c:v>
                      </c:pt>
                      <c:pt idx="40">
                        <c:v>30</c:v>
                      </c:pt>
                    </c:numCache>
                  </c:numRef>
                </c:cat>
                <c:val>
                  <c:numRef>
                    <c:extLst>
                      <c:ext uri="{02D57815-91ED-43cb-92C2-25804820EDAC}">
                        <c15:formulaRef>
                          <c15:sqref>'UL linkLevel'!$U$27:$U$67</c15:sqref>
                        </c15:formulaRef>
                      </c:ext>
                    </c:extLst>
                    <c:numCache>
                      <c:formatCode>0.00</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61F4-499C-8D28-EA267DE10851}"/>
                  </c:ext>
                </c:extLst>
              </c15:ser>
            </c15:filteredLineSeries>
          </c:ext>
        </c:extLst>
      </c:lineChart>
      <c:catAx>
        <c:axId val="501444104"/>
        <c:scaling>
          <c:orientation val="minMax"/>
        </c:scaling>
        <c:delete val="0"/>
        <c:axPos val="b"/>
        <c:majorGridlines>
          <c:spPr>
            <a:ln w="9525" cap="flat" cmpd="sng" algn="ctr">
              <a:solidFill>
                <a:schemeClr val="tx1">
                  <a:lumMod val="15000"/>
                  <a:lumOff val="85000"/>
                </a:schemeClr>
              </a:solidFill>
              <a:round/>
            </a:ln>
            <a:effectLst/>
          </c:spPr>
        </c:majorGridlines>
        <c:title>
          <c:tx>
            <c:strRef>
              <c:f>'UL linkLevel'!$C$7</c:f>
              <c:strCache>
                <c:ptCount val="1"/>
                <c:pt idx="0">
                  <c:v>SINR per layer (dB)</c:v>
                </c:pt>
              </c:strCache>
            </c:strRef>
          </c:tx>
          <c:layout>
            <c:manualLayout>
              <c:xMode val="edge"/>
              <c:yMode val="edge"/>
              <c:x val="0.3742168926699751"/>
              <c:y val="0.95744409263128871"/>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01438528"/>
        <c:crosses val="autoZero"/>
        <c:auto val="1"/>
        <c:lblAlgn val="ctr"/>
        <c:lblOffset val="100"/>
        <c:noMultiLvlLbl val="0"/>
      </c:catAx>
      <c:valAx>
        <c:axId val="501438528"/>
        <c:scaling>
          <c:logBase val="10"/>
          <c:orientation val="minMax"/>
          <c:max val="3000"/>
        </c:scaling>
        <c:delete val="0"/>
        <c:axPos val="l"/>
        <c:majorGridlines>
          <c:spPr>
            <a:ln w="9525" cap="flat" cmpd="sng" algn="ctr">
              <a:solidFill>
                <a:schemeClr val="bg1">
                  <a:lumMod val="6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en-GB" sz="2000"/>
                  <a:t>Single User Througput</a:t>
                </a:r>
                <a:r>
                  <a:rPr lang="en-GB" sz="2000" baseline="0"/>
                  <a:t> (SUT) Mbps</a:t>
                </a:r>
              </a:p>
              <a:p>
                <a:pPr>
                  <a:defRPr sz="2000"/>
                </a:pPr>
                <a:endParaRPr lang="en-GB" sz="2000"/>
              </a:p>
            </c:rich>
          </c:tx>
          <c:layout>
            <c:manualLayout>
              <c:xMode val="edge"/>
              <c:yMode val="edge"/>
              <c:x val="1.1890029770013121E-2"/>
              <c:y val="0.31867293818902342"/>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501444104"/>
        <c:crosses val="autoZero"/>
        <c:crossBetween val="between"/>
      </c:valAx>
      <c:spPr>
        <a:noFill/>
        <a:ln>
          <a:noFill/>
        </a:ln>
        <a:effectLst/>
      </c:spPr>
    </c:plotArea>
    <c:legend>
      <c:legendPos val="r"/>
      <c:layout>
        <c:manualLayout>
          <c:xMode val="edge"/>
          <c:yMode val="edge"/>
          <c:x val="0.70479433170948258"/>
          <c:y val="5.0017263333991951E-2"/>
          <c:w val="0.29520566829051742"/>
          <c:h val="0.7673909484093363"/>
        </c:manualLayout>
      </c:layout>
      <c:overlay val="0"/>
      <c:spPr>
        <a:noFill/>
        <a:ln w="12700">
          <a:noFill/>
        </a:ln>
        <a:effectLst/>
      </c:spPr>
      <c:txPr>
        <a:bodyPr rot="0" spcFirstLastPara="1" vertOverflow="ellipsis" vert="horz" wrap="square" anchor="ctr" anchorCtr="1"/>
        <a:lstStyle/>
        <a:p>
          <a:pPr rtl="0">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w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600075</xdr:colOff>
      <xdr:row>2</xdr:row>
      <xdr:rowOff>9525</xdr:rowOff>
    </xdr:to>
    <xdr:pic>
      <xdr:nvPicPr>
        <xdr:cNvPr id="7" name="Picture 4" descr="image003">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228850" cy="981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427566</xdr:colOff>
      <xdr:row>25</xdr:row>
      <xdr:rowOff>152400</xdr:rowOff>
    </xdr:from>
    <xdr:to>
      <xdr:col>54</xdr:col>
      <xdr:colOff>127866</xdr:colOff>
      <xdr:row>66</xdr:row>
      <xdr:rowOff>139578</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26</xdr:col>
      <xdr:colOff>466725</xdr:colOff>
      <xdr:row>24</xdr:row>
      <xdr:rowOff>193675</xdr:rowOff>
    </xdr:from>
    <xdr:to>
      <xdr:col>53</xdr:col>
      <xdr:colOff>322991</xdr:colOff>
      <xdr:row>66</xdr:row>
      <xdr:rowOff>193675</xdr:rowOff>
    </xdr:to>
    <xdr:graphicFrame macro="">
      <xdr:nvGraphicFramePr>
        <xdr:cNvPr id="4" name="Chart 1">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101600</xdr:colOff>
          <xdr:row>3</xdr:row>
          <xdr:rowOff>177800</xdr:rowOff>
        </xdr:from>
        <xdr:to>
          <xdr:col>9</xdr:col>
          <xdr:colOff>254000</xdr:colOff>
          <xdr:row>7</xdr:row>
          <xdr:rowOff>0</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10</xdr:col>
      <xdr:colOff>0</xdr:colOff>
      <xdr:row>4</xdr:row>
      <xdr:rowOff>0</xdr:rowOff>
    </xdr:from>
    <xdr:ext cx="5810038" cy="6301407"/>
    <xdr:pic>
      <xdr:nvPicPr>
        <xdr:cNvPr id="3" name="Picture 2">
          <a:extLst>
            <a:ext uri="{FF2B5EF4-FFF2-40B4-BE49-F238E27FC236}">
              <a16:creationId xmlns:a16="http://schemas.microsoft.com/office/drawing/2014/main" id="{00000000-0008-0000-0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705600" y="792480"/>
          <a:ext cx="5810038" cy="6301407"/>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ofcomuk.sharepoint.com/sites/fauc/leg/Litigation/Calcs_MaxThr_5GNR_v2_purposes_Litigation-PeerReview_May2020%20MF-SL9.1-normalised%20power%20-%20Results%202020050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tents"/>
    </sheetNames>
    <sheetDataSet>
      <sheetData sheetId="0">
        <row r="6">
          <cell r="B6" t="str">
            <v>Enter Workbook Title</v>
          </cell>
        </row>
      </sheetData>
    </sheetDataSet>
  </externalBook>
</externalLink>
</file>

<file path=xl/theme/theme1.xml><?xml version="1.0" encoding="utf-8"?>
<a:theme xmlns:a="http://schemas.openxmlformats.org/drawingml/2006/main" name="Ofcom Template 2017">
  <a:themeElements>
    <a:clrScheme name="Ofcom Corporate RGB">
      <a:dk1>
        <a:srgbClr val="38393A"/>
      </a:dk1>
      <a:lt1>
        <a:srgbClr val="FFFFFF"/>
      </a:lt1>
      <a:dk2>
        <a:srgbClr val="532A57"/>
      </a:dk2>
      <a:lt2>
        <a:srgbClr val="81276D"/>
      </a:lt2>
      <a:accent1>
        <a:srgbClr val="B6CA4B"/>
      </a:accent1>
      <a:accent2>
        <a:srgbClr val="AE153B"/>
      </a:accent2>
      <a:accent3>
        <a:srgbClr val="C51370"/>
      </a:accent3>
      <a:accent4>
        <a:srgbClr val="0F9ECA"/>
      </a:accent4>
      <a:accent5>
        <a:srgbClr val="E8B738"/>
      </a:accent5>
      <a:accent6>
        <a:srgbClr val="E27B29"/>
      </a:accent6>
      <a:hlink>
        <a:srgbClr val="5980E4"/>
      </a:hlink>
      <a:folHlink>
        <a:srgbClr val="9F3280"/>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Theme1" id="{78E21BDC-0BBA-4DEA-AC4C-41ECB09CE9C9}" vid="{370F15BA-8EDA-46B7-B648-151EDFD9108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2.w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reamble1">
    <outlinePr summaryBelow="0"/>
    <pageSetUpPr autoPageBreaks="0"/>
  </sheetPr>
  <dimension ref="A1:F20"/>
  <sheetViews>
    <sheetView showGridLines="0" defaultGridColor="0" colorId="22" zoomScaleNormal="95" zoomScaleSheetLayoutView="75" workbookViewId="0">
      <pane ySplit="2" topLeftCell="A3" activePane="bottomLeft" state="frozen"/>
      <selection pane="bottomLeft" activeCell="B2" sqref="B2"/>
    </sheetView>
  </sheetViews>
  <sheetFormatPr baseColWidth="10" defaultColWidth="12.5" defaultRowHeight="15" x14ac:dyDescent="0.2"/>
  <cols>
    <col min="1" max="1" width="24.33203125" customWidth="1"/>
    <col min="2" max="2" width="25.33203125" customWidth="1"/>
    <col min="3" max="3" width="37.33203125" customWidth="1"/>
    <col min="4" max="4" width="14.33203125" customWidth="1"/>
    <col min="5" max="5" width="15" customWidth="1"/>
  </cols>
  <sheetData>
    <row r="1" spans="1:6" ht="12" customHeight="1" x14ac:dyDescent="0.3">
      <c r="C1" s="6"/>
    </row>
    <row r="2" spans="1:6" ht="64.5" customHeight="1" x14ac:dyDescent="0.35">
      <c r="F2" s="9" t="str">
        <f>Workbook.Title</f>
        <v>Single User Throughput in 5G NR</v>
      </c>
    </row>
    <row r="3" spans="1:6" ht="7.5" customHeight="1" x14ac:dyDescent="0.2"/>
    <row r="4" spans="1:6" ht="21" x14ac:dyDescent="0.25">
      <c r="A4" s="3" t="s">
        <v>5</v>
      </c>
      <c r="D4" s="4"/>
    </row>
    <row r="5" spans="1:6" ht="6" customHeight="1" x14ac:dyDescent="0.2"/>
    <row r="6" spans="1:6" x14ac:dyDescent="0.2">
      <c r="A6" t="s">
        <v>4</v>
      </c>
      <c r="B6" t="s">
        <v>237</v>
      </c>
    </row>
    <row r="7" spans="1:6" x14ac:dyDescent="0.2">
      <c r="A7" t="s">
        <v>3</v>
      </c>
      <c r="B7" t="s">
        <v>241</v>
      </c>
      <c r="D7" s="5"/>
    </row>
    <row r="8" spans="1:6" x14ac:dyDescent="0.2">
      <c r="A8" t="s">
        <v>2</v>
      </c>
      <c r="B8" t="s">
        <v>239</v>
      </c>
    </row>
    <row r="10" spans="1:6" ht="21" x14ac:dyDescent="0.25">
      <c r="A10" s="3" t="s">
        <v>6</v>
      </c>
    </row>
    <row r="12" spans="1:6" ht="19" x14ac:dyDescent="0.25">
      <c r="A12" s="1" t="s">
        <v>0</v>
      </c>
      <c r="B12" s="1" t="s">
        <v>1</v>
      </c>
      <c r="C12" s="2"/>
      <c r="D12" s="1"/>
      <c r="E12" s="1"/>
    </row>
    <row r="13" spans="1:6" x14ac:dyDescent="0.2">
      <c r="A13" t="s">
        <v>6</v>
      </c>
      <c r="B13" t="s">
        <v>7</v>
      </c>
    </row>
    <row r="14" spans="1:6" x14ac:dyDescent="0.2">
      <c r="A14" t="s">
        <v>194</v>
      </c>
      <c r="B14" t="s">
        <v>240</v>
      </c>
    </row>
    <row r="15" spans="1:6" x14ac:dyDescent="0.2">
      <c r="A15" t="s">
        <v>198</v>
      </c>
      <c r="B15" t="s">
        <v>195</v>
      </c>
    </row>
    <row r="16" spans="1:6" x14ac:dyDescent="0.2">
      <c r="A16" t="s">
        <v>197</v>
      </c>
      <c r="B16" t="s">
        <v>196</v>
      </c>
    </row>
    <row r="17" spans="1:5" x14ac:dyDescent="0.2">
      <c r="A17" t="s">
        <v>193</v>
      </c>
      <c r="B17" t="s">
        <v>242</v>
      </c>
    </row>
    <row r="19" spans="1:5" ht="21" x14ac:dyDescent="0.2">
      <c r="A19" s="10" t="s">
        <v>9</v>
      </c>
    </row>
    <row r="20" spans="1:5" ht="340.5" customHeight="1" x14ac:dyDescent="0.2">
      <c r="A20" s="164" t="s">
        <v>238</v>
      </c>
      <c r="B20" s="164"/>
      <c r="C20" s="164"/>
      <c r="D20" s="164"/>
      <c r="E20" s="164"/>
    </row>
  </sheetData>
  <mergeCells count="1">
    <mergeCell ref="A20:E20"/>
  </mergeCells>
  <phoneticPr fontId="0" type="noConversion"/>
  <dataValidations count="2">
    <dataValidation allowBlank="1" sqref="D13" xr:uid="{00000000-0002-0000-0000-000000000000}"/>
    <dataValidation type="list" allowBlank="1" showInputMessage="1" promptTitle="Input Parameter" prompt="Select from list" sqref="B8 D14:D17" xr:uid="{00000000-0002-0000-0000-000001000000}">
      <formula1>"Work in progress, Ready for review, Approved for release, Archived"</formula1>
    </dataValidation>
  </dataValidations>
  <pageMargins left="0.70866141732283472" right="0.70866141732283472" top="0.51181102362204722" bottom="0.51181102362204722" header="0.51181102362204722" footer="0.35433070866141736"/>
  <pageSetup paperSize="9" orientation="landscape" horizontalDpi="4294967292" verticalDpi="4294967292" r:id="rId1"/>
  <headerFooter alignWithMargins="0">
    <oddFooter>&amp;L&amp;A :page&amp;P&amp;COfcom Confidential&amp;R&amp;D</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3DA5B-DAEA-44C3-8B28-47651CFFDBAF}">
  <dimension ref="A1:R106"/>
  <sheetViews>
    <sheetView zoomScale="90" zoomScaleNormal="90" workbookViewId="0">
      <selection activeCell="O30" sqref="O30"/>
    </sheetView>
  </sheetViews>
  <sheetFormatPr baseColWidth="10" defaultColWidth="8.83203125" defaultRowHeight="16" x14ac:dyDescent="0.2"/>
  <cols>
    <col min="1" max="1" width="13.1640625" style="11" customWidth="1"/>
    <col min="2" max="2" width="38.6640625" style="11" customWidth="1"/>
    <col min="3" max="3" width="8.83203125" style="11" customWidth="1"/>
    <col min="4" max="4" width="15.5" style="11" customWidth="1"/>
    <col min="5" max="5" width="24.5" style="11" customWidth="1"/>
    <col min="6" max="6" width="21.83203125" style="11" customWidth="1"/>
    <col min="7" max="7" width="10.1640625" style="11" customWidth="1"/>
    <col min="8" max="8" width="15.5" style="11" customWidth="1"/>
    <col min="9" max="9" width="8.83203125" style="11"/>
    <col min="10" max="10" width="18" style="11" customWidth="1"/>
    <col min="11" max="11" width="14.1640625" style="11" customWidth="1"/>
    <col min="12" max="12" width="23.33203125" style="11" customWidth="1"/>
    <col min="13" max="16384" width="8.83203125" style="11"/>
  </cols>
  <sheetData>
    <row r="1" spans="1:16" customFormat="1" ht="40.5" customHeight="1" x14ac:dyDescent="0.2">
      <c r="A1" s="8" t="s">
        <v>204</v>
      </c>
    </row>
    <row r="2" spans="1:16" x14ac:dyDescent="0.2">
      <c r="B2" s="70" t="s">
        <v>235</v>
      </c>
    </row>
    <row r="3" spans="1:16" ht="17" thickBot="1" x14ac:dyDescent="0.25">
      <c r="B3" s="21" t="s">
        <v>136</v>
      </c>
    </row>
    <row r="4" spans="1:16" ht="17" thickBot="1" x14ac:dyDescent="0.25">
      <c r="B4" s="66"/>
      <c r="C4" s="84" t="s">
        <v>8</v>
      </c>
      <c r="D4" s="85" t="s">
        <v>10</v>
      </c>
      <c r="F4" s="70" t="s">
        <v>135</v>
      </c>
    </row>
    <row r="5" spans="1:16" x14ac:dyDescent="0.2">
      <c r="B5" s="16"/>
      <c r="D5" s="15"/>
      <c r="F5" s="83"/>
      <c r="G5" s="74"/>
      <c r="H5" s="173" t="s">
        <v>134</v>
      </c>
      <c r="I5" s="174"/>
      <c r="J5" s="174"/>
      <c r="K5" s="174"/>
      <c r="L5" s="174"/>
      <c r="M5" s="174"/>
      <c r="N5" s="174"/>
      <c r="O5" s="175"/>
    </row>
    <row r="6" spans="1:16" ht="35" thickBot="1" x14ac:dyDescent="0.25">
      <c r="B6" s="16"/>
      <c r="C6" s="67" t="s">
        <v>133</v>
      </c>
      <c r="D6" s="15"/>
      <c r="F6" s="80" t="s">
        <v>132</v>
      </c>
      <c r="G6" s="97" t="s">
        <v>200</v>
      </c>
      <c r="H6" s="91">
        <v>5</v>
      </c>
      <c r="I6" s="90">
        <v>10</v>
      </c>
      <c r="J6" s="90">
        <v>20</v>
      </c>
      <c r="K6" s="90">
        <v>40</v>
      </c>
      <c r="L6" s="90">
        <v>50</v>
      </c>
      <c r="M6" s="90">
        <v>70</v>
      </c>
      <c r="N6" s="90">
        <v>80</v>
      </c>
      <c r="O6" s="92">
        <v>100</v>
      </c>
    </row>
    <row r="7" spans="1:16" x14ac:dyDescent="0.2">
      <c r="B7" s="119" t="str">
        <f>B44</f>
        <v>DL 0.75 New</v>
      </c>
      <c r="C7" s="68">
        <v>1</v>
      </c>
      <c r="D7" s="15"/>
      <c r="F7" s="80">
        <v>15</v>
      </c>
      <c r="G7" s="94">
        <v>0</v>
      </c>
      <c r="H7" s="93">
        <v>25</v>
      </c>
      <c r="I7" s="98"/>
      <c r="J7" s="89">
        <v>106</v>
      </c>
      <c r="K7" s="89">
        <v>216</v>
      </c>
      <c r="L7" s="89">
        <v>270</v>
      </c>
      <c r="M7" s="98" t="s">
        <v>131</v>
      </c>
      <c r="N7" s="98" t="s">
        <v>130</v>
      </c>
      <c r="O7" s="99" t="s">
        <v>130</v>
      </c>
    </row>
    <row r="8" spans="1:16" ht="17" thickBot="1" x14ac:dyDescent="0.25">
      <c r="B8" s="120" t="str">
        <f>B54</f>
        <v>DL 0.75 Original</v>
      </c>
      <c r="C8" s="69">
        <v>11</v>
      </c>
      <c r="D8" s="15"/>
      <c r="F8" s="80">
        <v>30</v>
      </c>
      <c r="G8" s="94">
        <v>1</v>
      </c>
      <c r="H8" s="93">
        <v>11</v>
      </c>
      <c r="I8" s="89">
        <v>24</v>
      </c>
      <c r="J8" s="89">
        <v>51</v>
      </c>
      <c r="K8" s="89">
        <v>106</v>
      </c>
      <c r="L8" s="89">
        <v>133</v>
      </c>
      <c r="M8" s="89">
        <v>189</v>
      </c>
      <c r="N8" s="89">
        <v>217</v>
      </c>
      <c r="O8" s="94">
        <v>273</v>
      </c>
    </row>
    <row r="9" spans="1:16" ht="17" thickBot="1" x14ac:dyDescent="0.25">
      <c r="B9" s="117" t="str">
        <f>B64</f>
        <v>UL New</v>
      </c>
      <c r="C9" s="118">
        <v>1</v>
      </c>
      <c r="D9" s="15"/>
      <c r="F9" s="81">
        <v>60</v>
      </c>
      <c r="G9" s="96">
        <v>2</v>
      </c>
      <c r="H9" s="101" t="s">
        <v>130</v>
      </c>
      <c r="I9" s="95">
        <v>11</v>
      </c>
      <c r="J9" s="95">
        <v>24</v>
      </c>
      <c r="K9" s="100" t="s">
        <v>130</v>
      </c>
      <c r="L9" s="95">
        <v>65</v>
      </c>
      <c r="M9" s="95">
        <v>93</v>
      </c>
      <c r="N9" s="95">
        <v>107</v>
      </c>
      <c r="O9" s="96">
        <v>135</v>
      </c>
    </row>
    <row r="10" spans="1:16" ht="17" thickBot="1" x14ac:dyDescent="0.25">
      <c r="B10" s="117" t="str">
        <f>B74</f>
        <v>UL Original</v>
      </c>
      <c r="C10" s="69">
        <v>11</v>
      </c>
      <c r="D10" s="15"/>
    </row>
    <row r="11" spans="1:16" ht="17" thickBot="1" x14ac:dyDescent="0.25">
      <c r="B11" s="14"/>
      <c r="C11" s="13"/>
      <c r="D11" s="12"/>
      <c r="F11"/>
      <c r="G11" s="90" t="s">
        <v>121</v>
      </c>
      <c r="H11" s="90" t="s">
        <v>120</v>
      </c>
      <c r="I11" s="90" t="s">
        <v>119</v>
      </c>
      <c r="J11" s="90" t="s">
        <v>118</v>
      </c>
      <c r="M11" s="166" t="s">
        <v>98</v>
      </c>
      <c r="N11" s="166"/>
      <c r="O11" s="166"/>
    </row>
    <row r="12" spans="1:16" ht="17" thickBot="1" x14ac:dyDescent="0.25">
      <c r="F12" t="s">
        <v>113</v>
      </c>
      <c r="G12" s="102">
        <v>2</v>
      </c>
      <c r="H12" s="102">
        <v>4</v>
      </c>
      <c r="I12" s="102">
        <v>6</v>
      </c>
      <c r="J12" s="102">
        <v>8</v>
      </c>
      <c r="M12" s="103" t="s">
        <v>13</v>
      </c>
      <c r="N12" s="104" t="s">
        <v>94</v>
      </c>
      <c r="O12" s="105" t="s">
        <v>93</v>
      </c>
    </row>
    <row r="13" spans="1:16" x14ac:dyDescent="0.2">
      <c r="L13" s="11" t="s">
        <v>89</v>
      </c>
      <c r="M13" s="71">
        <v>71</v>
      </c>
      <c r="N13" s="71">
        <v>24</v>
      </c>
      <c r="O13" s="71">
        <f>24-6</f>
        <v>18</v>
      </c>
    </row>
    <row r="14" spans="1:16" x14ac:dyDescent="0.2">
      <c r="F14" t="s">
        <v>104</v>
      </c>
      <c r="G14" s="89">
        <v>1</v>
      </c>
      <c r="H14" s="89">
        <v>0.8</v>
      </c>
      <c r="I14" s="89">
        <v>0.75</v>
      </c>
      <c r="J14" s="89">
        <v>0.4</v>
      </c>
      <c r="L14" s="11" t="s">
        <v>88</v>
      </c>
      <c r="M14" s="87">
        <v>5</v>
      </c>
      <c r="N14" s="87">
        <v>7</v>
      </c>
      <c r="O14" s="87">
        <v>9</v>
      </c>
      <c r="P14" s="7" t="s">
        <v>236</v>
      </c>
    </row>
    <row r="15" spans="1:16" x14ac:dyDescent="0.2">
      <c r="L15" s="11" t="s">
        <v>87</v>
      </c>
      <c r="M15" s="71">
        <v>21</v>
      </c>
      <c r="N15" s="71">
        <v>3</v>
      </c>
      <c r="O15" s="71">
        <v>0</v>
      </c>
    </row>
    <row r="17" spans="1:18" x14ac:dyDescent="0.2">
      <c r="A17" s="106"/>
      <c r="B17" s="106"/>
      <c r="C17" s="106"/>
      <c r="D17" s="106"/>
      <c r="E17" s="106"/>
      <c r="F17" s="106"/>
      <c r="G17" s="106"/>
      <c r="H17" s="106"/>
      <c r="I17" s="106"/>
      <c r="J17" s="106"/>
      <c r="K17" s="106"/>
      <c r="L17" s="106"/>
      <c r="M17" s="106"/>
      <c r="N17" s="106"/>
      <c r="O17" s="106"/>
      <c r="P17" s="106"/>
      <c r="Q17" s="106"/>
      <c r="R17" s="106"/>
    </row>
    <row r="18" spans="1:18" ht="17" thickBot="1" x14ac:dyDescent="0.25"/>
    <row r="19" spans="1:18" ht="22" thickBot="1" x14ac:dyDescent="0.3">
      <c r="B19" s="115" t="s">
        <v>129</v>
      </c>
      <c r="C19" s="79"/>
      <c r="D19" s="74"/>
      <c r="G19" s="170" t="s">
        <v>123</v>
      </c>
      <c r="H19" s="169"/>
      <c r="I19" s="167" t="s">
        <v>122</v>
      </c>
      <c r="J19" s="169"/>
    </row>
    <row r="20" spans="1:18" ht="21" x14ac:dyDescent="0.25">
      <c r="B20" s="80" t="s">
        <v>128</v>
      </c>
      <c r="C20" s="71" t="s">
        <v>13</v>
      </c>
      <c r="D20" s="125" t="s">
        <v>127</v>
      </c>
      <c r="F20" s="114" t="s">
        <v>126</v>
      </c>
    </row>
    <row r="21" spans="1:18" x14ac:dyDescent="0.2">
      <c r="B21" s="80" t="s">
        <v>125</v>
      </c>
      <c r="C21" s="88">
        <v>0.06</v>
      </c>
      <c r="D21" s="125" t="s">
        <v>124</v>
      </c>
      <c r="E21" s="7" t="s">
        <v>234</v>
      </c>
      <c r="F21" t="s">
        <v>116</v>
      </c>
      <c r="G21" s="72">
        <v>8</v>
      </c>
      <c r="H21" s="125" t="s">
        <v>115</v>
      </c>
      <c r="I21" s="72">
        <v>6</v>
      </c>
      <c r="J21" s="125" t="s">
        <v>114</v>
      </c>
      <c r="K21" s="70" t="s">
        <v>108</v>
      </c>
    </row>
    <row r="22" spans="1:18" x14ac:dyDescent="0.2">
      <c r="B22" s="80" t="s">
        <v>201</v>
      </c>
      <c r="C22" s="87">
        <v>12</v>
      </c>
      <c r="D22" s="125" t="s">
        <v>117</v>
      </c>
      <c r="E22" s="70" t="s">
        <v>233</v>
      </c>
      <c r="F22" t="s">
        <v>111</v>
      </c>
      <c r="G22" s="72">
        <f>948/1024</f>
        <v>0.92578125</v>
      </c>
      <c r="H22" s="125" t="s">
        <v>110</v>
      </c>
      <c r="I22" s="72">
        <f>948/1024</f>
        <v>0.92578125</v>
      </c>
      <c r="J22" s="125" t="s">
        <v>109</v>
      </c>
      <c r="K22" s="70" t="s">
        <v>108</v>
      </c>
    </row>
    <row r="23" spans="1:18" x14ac:dyDescent="0.2">
      <c r="B23" s="80" t="s">
        <v>202</v>
      </c>
      <c r="C23" s="87">
        <v>13</v>
      </c>
      <c r="D23" s="125" t="s">
        <v>112</v>
      </c>
      <c r="E23" s="70" t="s">
        <v>233</v>
      </c>
      <c r="F23" t="s">
        <v>107</v>
      </c>
      <c r="G23" s="72">
        <v>1</v>
      </c>
      <c r="H23" s="125" t="s">
        <v>106</v>
      </c>
      <c r="I23" s="72">
        <v>1</v>
      </c>
      <c r="J23" s="125" t="s">
        <v>105</v>
      </c>
      <c r="K23" s="7" t="s">
        <v>231</v>
      </c>
    </row>
    <row r="24" spans="1:18" ht="17" thickBot="1" x14ac:dyDescent="0.25">
      <c r="B24" s="81" t="s">
        <v>199</v>
      </c>
      <c r="C24" s="87">
        <v>-140</v>
      </c>
      <c r="D24" s="125" t="s">
        <v>103</v>
      </c>
      <c r="E24" s="70"/>
      <c r="F24" t="s">
        <v>203</v>
      </c>
      <c r="G24" s="87">
        <v>0.14000000000000001</v>
      </c>
      <c r="H24" s="125" t="s">
        <v>102</v>
      </c>
      <c r="I24" s="87">
        <v>0.08</v>
      </c>
      <c r="J24" s="125" t="s">
        <v>101</v>
      </c>
      <c r="K24" s="7" t="s">
        <v>231</v>
      </c>
    </row>
    <row r="25" spans="1:18" ht="21" x14ac:dyDescent="0.25">
      <c r="F25" s="114" t="s">
        <v>99</v>
      </c>
      <c r="H25" s="125"/>
      <c r="J25" s="125"/>
    </row>
    <row r="26" spans="1:18" ht="17" thickBot="1" x14ac:dyDescent="0.25">
      <c r="F26" t="s">
        <v>97</v>
      </c>
      <c r="G26" s="73">
        <v>98.28</v>
      </c>
      <c r="H26" s="125" t="s">
        <v>96</v>
      </c>
      <c r="I26" s="72">
        <v>98.28</v>
      </c>
      <c r="J26" s="125" t="s">
        <v>95</v>
      </c>
      <c r="N26" s="30"/>
    </row>
    <row r="27" spans="1:18" ht="22" thickBot="1" x14ac:dyDescent="0.3">
      <c r="B27" s="115" t="s">
        <v>100</v>
      </c>
      <c r="C27" s="74" t="s">
        <v>82</v>
      </c>
      <c r="D27" s="165" t="s">
        <v>230</v>
      </c>
      <c r="F27" t="s">
        <v>92</v>
      </c>
      <c r="G27" s="86">
        <v>4</v>
      </c>
      <c r="H27" s="125" t="s">
        <v>91</v>
      </c>
      <c r="I27" s="73">
        <v>2</v>
      </c>
      <c r="J27" s="125" t="s">
        <v>90</v>
      </c>
      <c r="N27" s="30"/>
    </row>
    <row r="28" spans="1:18" x14ac:dyDescent="0.2">
      <c r="B28" s="75" t="s">
        <v>213</v>
      </c>
      <c r="C28" s="76">
        <v>300</v>
      </c>
      <c r="D28" s="165"/>
      <c r="F28" t="s">
        <v>205</v>
      </c>
      <c r="G28" s="108">
        <f>HLOOKUP(BS_type,M12:O15,2,FALSE)+10*LOG10(DL_NormBW/20)</f>
        <v>77.914351521440622</v>
      </c>
      <c r="H28" s="125"/>
      <c r="I28" s="82">
        <v>26</v>
      </c>
      <c r="J28" s="125"/>
      <c r="K28" s="70" t="s">
        <v>232</v>
      </c>
    </row>
    <row r="29" spans="1:18" ht="32" x14ac:dyDescent="0.2">
      <c r="B29" s="75" t="s">
        <v>215</v>
      </c>
      <c r="C29" s="76">
        <v>100</v>
      </c>
      <c r="D29" s="165"/>
      <c r="F29" t="s">
        <v>86</v>
      </c>
      <c r="G29" s="109">
        <f>G28-10*LOG10(DL_NormLayers)</f>
        <v>71.893751608160997</v>
      </c>
      <c r="H29" s="125" t="s">
        <v>85</v>
      </c>
      <c r="I29" s="109">
        <f>I28-10*LOG10(UL_NormLayers)</f>
        <v>22.989700043360187</v>
      </c>
      <c r="J29" s="125" t="s">
        <v>84</v>
      </c>
      <c r="K29" s="70" t="s">
        <v>232</v>
      </c>
    </row>
    <row r="30" spans="1:18" ht="48" x14ac:dyDescent="0.2">
      <c r="B30" s="75" t="s">
        <v>220</v>
      </c>
      <c r="C30" s="76">
        <v>50</v>
      </c>
      <c r="D30" s="165"/>
      <c r="F30" t="s">
        <v>81</v>
      </c>
      <c r="G30" s="110">
        <v>9</v>
      </c>
      <c r="H30" s="125" t="s">
        <v>80</v>
      </c>
      <c r="I30" s="113">
        <f>HLOOKUP(BS_type,M12:O15,3,FALSE)</f>
        <v>5</v>
      </c>
      <c r="J30" s="125" t="s">
        <v>79</v>
      </c>
    </row>
    <row r="31" spans="1:18" x14ac:dyDescent="0.2">
      <c r="B31" s="75" t="s">
        <v>214</v>
      </c>
      <c r="C31" s="76">
        <v>25</v>
      </c>
      <c r="D31" s="165"/>
      <c r="F31" t="s">
        <v>78</v>
      </c>
      <c r="G31" s="110">
        <v>0</v>
      </c>
      <c r="H31" s="125" t="s">
        <v>77</v>
      </c>
      <c r="I31" s="113">
        <f>HLOOKUP(BS_type,$M$12:$O$15,4,FALSE)</f>
        <v>21</v>
      </c>
      <c r="J31" s="125" t="s">
        <v>76</v>
      </c>
    </row>
    <row r="32" spans="1:18" ht="17" thickBot="1" x14ac:dyDescent="0.25">
      <c r="B32" s="77" t="s">
        <v>216</v>
      </c>
      <c r="C32" s="78">
        <v>20</v>
      </c>
      <c r="D32" s="165"/>
      <c r="F32"/>
      <c r="G32" s="111">
        <f>thermal_noise+10*LOG10(G26) +DL_NF</f>
        <v>-111.07534852191957</v>
      </c>
      <c r="H32" s="125" t="s">
        <v>75</v>
      </c>
      <c r="I32" s="111">
        <f>thermal_noise+10*LOG10(G26) +UL_NF</f>
        <v>-115.07534852191957</v>
      </c>
      <c r="J32" s="125" t="s">
        <v>74</v>
      </c>
      <c r="K32" s="30"/>
    </row>
    <row r="33" spans="1:18" ht="22" thickBot="1" x14ac:dyDescent="0.3">
      <c r="F33" s="114" t="s">
        <v>73</v>
      </c>
      <c r="H33" s="125"/>
      <c r="J33" s="125"/>
      <c r="K33" s="30"/>
      <c r="N33" s="30"/>
    </row>
    <row r="34" spans="1:18" ht="21" customHeight="1" x14ac:dyDescent="0.25">
      <c r="B34" s="115" t="s">
        <v>83</v>
      </c>
      <c r="C34" s="74" t="s">
        <v>82</v>
      </c>
      <c r="D34" s="165" t="s">
        <v>230</v>
      </c>
      <c r="F34" t="s">
        <v>72</v>
      </c>
      <c r="G34" s="116">
        <v>0.6</v>
      </c>
      <c r="H34" s="125" t="s">
        <v>71</v>
      </c>
      <c r="I34" s="116">
        <v>0.55000000000000004</v>
      </c>
      <c r="J34" s="125" t="s">
        <v>70</v>
      </c>
      <c r="K34" s="70" t="s">
        <v>233</v>
      </c>
      <c r="N34" s="30"/>
    </row>
    <row r="35" spans="1:18" ht="48" x14ac:dyDescent="0.2">
      <c r="B35" s="75" t="s">
        <v>217</v>
      </c>
      <c r="C35" s="76">
        <v>50</v>
      </c>
      <c r="D35" s="165"/>
    </row>
    <row r="36" spans="1:18" x14ac:dyDescent="0.2">
      <c r="B36" s="75" t="s">
        <v>218</v>
      </c>
      <c r="C36" s="76">
        <v>25</v>
      </c>
      <c r="D36" s="165"/>
      <c r="N36" s="30"/>
    </row>
    <row r="37" spans="1:18" x14ac:dyDescent="0.2">
      <c r="B37" s="75" t="s">
        <v>219</v>
      </c>
      <c r="C37" s="76">
        <v>20</v>
      </c>
      <c r="D37" s="165"/>
      <c r="N37" s="30"/>
    </row>
    <row r="38" spans="1:18" x14ac:dyDescent="0.2">
      <c r="B38" s="75"/>
      <c r="C38" s="76"/>
      <c r="D38" s="165"/>
      <c r="N38" s="30"/>
    </row>
    <row r="39" spans="1:18" ht="17" thickBot="1" x14ac:dyDescent="0.25">
      <c r="B39" s="77"/>
      <c r="C39" s="78"/>
      <c r="D39" s="165"/>
    </row>
    <row r="41" spans="1:18" x14ac:dyDescent="0.2">
      <c r="A41" s="106"/>
      <c r="B41" s="106"/>
      <c r="C41" s="106"/>
      <c r="D41" s="106"/>
      <c r="E41" s="106"/>
      <c r="F41" s="106"/>
      <c r="G41" s="106"/>
      <c r="H41" s="106"/>
      <c r="I41" s="106"/>
      <c r="J41" s="106"/>
      <c r="K41" s="106"/>
      <c r="L41" s="106"/>
      <c r="M41" s="106"/>
      <c r="N41" s="106"/>
      <c r="O41" s="106"/>
      <c r="P41" s="106"/>
      <c r="Q41" s="106"/>
      <c r="R41" s="106"/>
    </row>
    <row r="42" spans="1:18" ht="21" x14ac:dyDescent="0.25">
      <c r="B42" s="114" t="s">
        <v>154</v>
      </c>
      <c r="K42" s="28"/>
      <c r="L42" s="28"/>
    </row>
    <row r="43" spans="1:18" x14ac:dyDescent="0.2">
      <c r="K43" s="28"/>
      <c r="L43" s="28"/>
    </row>
    <row r="44" spans="1:18" x14ac:dyDescent="0.2">
      <c r="B44" s="26" t="s">
        <v>23</v>
      </c>
    </row>
    <row r="45" spans="1:18" x14ac:dyDescent="0.2">
      <c r="A45" s="25"/>
      <c r="B45" s="25" t="s">
        <v>49</v>
      </c>
      <c r="C45" s="25" t="s">
        <v>48</v>
      </c>
      <c r="D45" s="25" t="s">
        <v>47</v>
      </c>
      <c r="E45" s="25" t="s">
        <v>46</v>
      </c>
      <c r="F45" s="25" t="s">
        <v>45</v>
      </c>
      <c r="G45" s="25" t="s">
        <v>44</v>
      </c>
    </row>
    <row r="46" spans="1:18" x14ac:dyDescent="0.2">
      <c r="A46" s="23" t="s">
        <v>42</v>
      </c>
      <c r="B46" t="s">
        <v>62</v>
      </c>
      <c r="C46" s="71">
        <v>4</v>
      </c>
      <c r="D46" s="71">
        <v>30</v>
      </c>
      <c r="E46" s="71">
        <v>40</v>
      </c>
      <c r="F46" s="71"/>
      <c r="G46" s="70" t="s">
        <v>61</v>
      </c>
    </row>
    <row r="47" spans="1:18" x14ac:dyDescent="0.2">
      <c r="A47" s="23" t="s">
        <v>39</v>
      </c>
      <c r="B47" t="s">
        <v>69</v>
      </c>
      <c r="C47" s="71">
        <v>4</v>
      </c>
      <c r="D47" s="71">
        <v>30</v>
      </c>
      <c r="E47" s="71">
        <v>50</v>
      </c>
      <c r="F47" s="71"/>
      <c r="G47" s="70" t="s">
        <v>68</v>
      </c>
    </row>
    <row r="48" spans="1:18" x14ac:dyDescent="0.2">
      <c r="A48" s="23" t="s">
        <v>36</v>
      </c>
      <c r="B48" t="s">
        <v>67</v>
      </c>
      <c r="C48" s="71">
        <v>4</v>
      </c>
      <c r="D48" s="71">
        <v>30</v>
      </c>
      <c r="E48" s="71">
        <v>80</v>
      </c>
      <c r="F48" s="71"/>
      <c r="G48" s="70" t="s">
        <v>66</v>
      </c>
    </row>
    <row r="49" spans="1:13" x14ac:dyDescent="0.2">
      <c r="A49" s="23" t="s">
        <v>32</v>
      </c>
      <c r="B49" t="s">
        <v>65</v>
      </c>
      <c r="C49" s="71">
        <v>4</v>
      </c>
      <c r="D49" s="71">
        <v>30</v>
      </c>
      <c r="E49" s="71">
        <v>40</v>
      </c>
      <c r="F49" s="71">
        <v>40</v>
      </c>
      <c r="G49" s="70" t="s">
        <v>64</v>
      </c>
    </row>
    <row r="50" spans="1:13" x14ac:dyDescent="0.2">
      <c r="A50" s="23" t="s">
        <v>28</v>
      </c>
      <c r="B50" t="s">
        <v>55</v>
      </c>
      <c r="C50" s="71">
        <v>4</v>
      </c>
      <c r="D50" s="71">
        <v>30</v>
      </c>
      <c r="E50" s="71">
        <v>100</v>
      </c>
      <c r="F50" s="71"/>
      <c r="G50" s="70" t="s">
        <v>54</v>
      </c>
    </row>
    <row r="54" spans="1:13" x14ac:dyDescent="0.2">
      <c r="B54" s="26" t="s">
        <v>63</v>
      </c>
    </row>
    <row r="55" spans="1:13" x14ac:dyDescent="0.2">
      <c r="A55" s="25"/>
      <c r="B55" s="25" t="s">
        <v>49</v>
      </c>
      <c r="C55" s="25" t="s">
        <v>48</v>
      </c>
      <c r="D55" s="25" t="s">
        <v>47</v>
      </c>
      <c r="E55" s="25" t="s">
        <v>46</v>
      </c>
      <c r="F55" s="25" t="s">
        <v>45</v>
      </c>
      <c r="G55" s="25" t="s">
        <v>44</v>
      </c>
    </row>
    <row r="56" spans="1:13" x14ac:dyDescent="0.2">
      <c r="A56" s="23" t="s">
        <v>42</v>
      </c>
      <c r="B56" t="s">
        <v>62</v>
      </c>
      <c r="C56" s="71">
        <v>4</v>
      </c>
      <c r="D56" s="71">
        <v>30</v>
      </c>
      <c r="E56" s="71">
        <v>40</v>
      </c>
      <c r="F56" s="71"/>
      <c r="G56" s="70" t="s">
        <v>61</v>
      </c>
    </row>
    <row r="57" spans="1:13" x14ac:dyDescent="0.2">
      <c r="A57" s="23" t="s">
        <v>39</v>
      </c>
      <c r="B57" t="s">
        <v>27</v>
      </c>
      <c r="C57" s="71">
        <v>2</v>
      </c>
      <c r="D57" s="71">
        <v>30</v>
      </c>
      <c r="E57" s="71">
        <v>100</v>
      </c>
      <c r="F57" s="71"/>
      <c r="G57" s="70" t="s">
        <v>60</v>
      </c>
    </row>
    <row r="58" spans="1:13" x14ac:dyDescent="0.2">
      <c r="A58" s="23" t="s">
        <v>36</v>
      </c>
      <c r="B58" t="s">
        <v>59</v>
      </c>
      <c r="C58" s="71">
        <v>4</v>
      </c>
      <c r="D58" s="71">
        <v>30</v>
      </c>
      <c r="E58" s="71">
        <v>20</v>
      </c>
      <c r="F58" s="71">
        <v>70</v>
      </c>
      <c r="G58" s="70" t="s">
        <v>58</v>
      </c>
    </row>
    <row r="59" spans="1:13" x14ac:dyDescent="0.2">
      <c r="A59" s="23" t="s">
        <v>32</v>
      </c>
      <c r="B59" t="s">
        <v>57</v>
      </c>
      <c r="C59" s="71">
        <v>4</v>
      </c>
      <c r="D59" s="71">
        <v>30</v>
      </c>
      <c r="E59" s="71">
        <v>50</v>
      </c>
      <c r="F59" s="71">
        <v>50</v>
      </c>
      <c r="G59" s="70" t="s">
        <v>56</v>
      </c>
    </row>
    <row r="60" spans="1:13" x14ac:dyDescent="0.2">
      <c r="A60" s="23" t="s">
        <v>28</v>
      </c>
      <c r="B60" t="s">
        <v>55</v>
      </c>
      <c r="C60" s="71">
        <v>4</v>
      </c>
      <c r="D60" s="71">
        <v>30</v>
      </c>
      <c r="E60" s="71">
        <v>100</v>
      </c>
      <c r="F60" s="71"/>
      <c r="G60" s="70" t="s">
        <v>54</v>
      </c>
    </row>
    <row r="62" spans="1:13" x14ac:dyDescent="0.2">
      <c r="A62" s="27"/>
      <c r="B62" s="27"/>
      <c r="C62" s="27"/>
      <c r="D62" s="27"/>
      <c r="E62" s="27"/>
      <c r="F62" s="27"/>
      <c r="G62" s="27"/>
      <c r="H62" s="27"/>
      <c r="I62" s="27"/>
      <c r="J62" s="27"/>
      <c r="K62" s="27"/>
      <c r="L62" s="27"/>
      <c r="M62" s="27"/>
    </row>
    <row r="64" spans="1:13" x14ac:dyDescent="0.2">
      <c r="B64" s="26" t="s">
        <v>53</v>
      </c>
    </row>
    <row r="65" spans="1:7" x14ac:dyDescent="0.2">
      <c r="A65" s="25"/>
      <c r="B65" s="25" t="s">
        <v>49</v>
      </c>
      <c r="C65" s="25" t="s">
        <v>48</v>
      </c>
      <c r="D65" s="25" t="s">
        <v>47</v>
      </c>
      <c r="E65" s="25" t="s">
        <v>46</v>
      </c>
      <c r="F65" s="25" t="s">
        <v>45</v>
      </c>
      <c r="G65" s="25" t="s">
        <v>44</v>
      </c>
    </row>
    <row r="66" spans="1:7" x14ac:dyDescent="0.2">
      <c r="A66" s="23" t="s">
        <v>42</v>
      </c>
      <c r="B66" t="s">
        <v>41</v>
      </c>
      <c r="C66" s="71">
        <v>2</v>
      </c>
      <c r="D66" s="71">
        <v>30</v>
      </c>
      <c r="E66" s="71">
        <v>40</v>
      </c>
      <c r="F66" s="71"/>
      <c r="G66" s="70" t="s">
        <v>40</v>
      </c>
    </row>
    <row r="67" spans="1:7" x14ac:dyDescent="0.2">
      <c r="A67" s="23" t="s">
        <v>39</v>
      </c>
      <c r="B67" t="s">
        <v>52</v>
      </c>
      <c r="C67" s="71">
        <v>2</v>
      </c>
      <c r="D67" s="71">
        <v>30</v>
      </c>
      <c r="E67" s="71">
        <v>50</v>
      </c>
      <c r="F67" s="71"/>
      <c r="G67" s="70" t="s">
        <v>51</v>
      </c>
    </row>
    <row r="68" spans="1:7" x14ac:dyDescent="0.2">
      <c r="A68" s="23" t="s">
        <v>36</v>
      </c>
      <c r="B68" t="s">
        <v>38</v>
      </c>
      <c r="C68" s="71">
        <v>2</v>
      </c>
      <c r="D68" s="71">
        <v>30</v>
      </c>
      <c r="E68" s="71">
        <v>80</v>
      </c>
      <c r="F68" s="71"/>
      <c r="G68" s="70" t="s">
        <v>50</v>
      </c>
    </row>
    <row r="69" spans="1:7" x14ac:dyDescent="0.2">
      <c r="A69" s="23" t="s">
        <v>32</v>
      </c>
      <c r="B69" t="s">
        <v>27</v>
      </c>
      <c r="C69" s="71">
        <v>2</v>
      </c>
      <c r="D69" s="71">
        <v>30</v>
      </c>
      <c r="E69" s="71">
        <v>100</v>
      </c>
      <c r="F69" s="71"/>
      <c r="G69" s="70" t="s">
        <v>26</v>
      </c>
    </row>
    <row r="70" spans="1:7" x14ac:dyDescent="0.2">
      <c r="A70" s="23" t="s">
        <v>28</v>
      </c>
      <c r="B70"/>
      <c r="C70" s="71">
        <v>2</v>
      </c>
      <c r="D70" s="71">
        <v>30</v>
      </c>
      <c r="E70" s="71"/>
      <c r="F70" s="71"/>
      <c r="G70" s="70"/>
    </row>
    <row r="74" spans="1:7" x14ac:dyDescent="0.2">
      <c r="B74" s="26" t="s">
        <v>12</v>
      </c>
    </row>
    <row r="75" spans="1:7" x14ac:dyDescent="0.2">
      <c r="A75" s="25"/>
      <c r="B75" s="25" t="s">
        <v>49</v>
      </c>
      <c r="C75" s="25" t="s">
        <v>48</v>
      </c>
      <c r="D75" s="25" t="s">
        <v>47</v>
      </c>
      <c r="E75" s="25" t="s">
        <v>46</v>
      </c>
      <c r="F75" s="25" t="s">
        <v>45</v>
      </c>
      <c r="G75" s="25" t="s">
        <v>44</v>
      </c>
    </row>
    <row r="76" spans="1:7" x14ac:dyDescent="0.2">
      <c r="A76" s="23" t="s">
        <v>42</v>
      </c>
      <c r="B76" t="s">
        <v>41</v>
      </c>
      <c r="C76" s="71">
        <v>2</v>
      </c>
      <c r="D76" s="71">
        <v>30</v>
      </c>
      <c r="E76" s="71">
        <v>40</v>
      </c>
      <c r="F76" s="71"/>
      <c r="G76" s="70" t="s">
        <v>40</v>
      </c>
    </row>
    <row r="77" spans="1:7" x14ac:dyDescent="0.2">
      <c r="A77" s="23" t="s">
        <v>39</v>
      </c>
      <c r="B77" t="s">
        <v>38</v>
      </c>
      <c r="C77" s="71">
        <v>2</v>
      </c>
      <c r="D77" s="71">
        <v>30</v>
      </c>
      <c r="E77" s="71">
        <v>80</v>
      </c>
      <c r="F77" s="71"/>
      <c r="G77" s="70" t="s">
        <v>37</v>
      </c>
    </row>
    <row r="78" spans="1:7" x14ac:dyDescent="0.2">
      <c r="A78" s="23" t="s">
        <v>36</v>
      </c>
      <c r="B78" t="s">
        <v>35</v>
      </c>
      <c r="C78" s="71">
        <v>2</v>
      </c>
      <c r="D78" s="71">
        <v>30</v>
      </c>
      <c r="E78" s="71">
        <v>20</v>
      </c>
      <c r="F78" s="71">
        <v>70</v>
      </c>
      <c r="G78" s="70" t="s">
        <v>34</v>
      </c>
    </row>
    <row r="79" spans="1:7" x14ac:dyDescent="0.2">
      <c r="A79" s="23" t="s">
        <v>32</v>
      </c>
      <c r="B79" t="s">
        <v>31</v>
      </c>
      <c r="C79" s="71">
        <v>2</v>
      </c>
      <c r="D79" s="71">
        <v>30</v>
      </c>
      <c r="E79" s="71">
        <v>50</v>
      </c>
      <c r="F79" s="71">
        <v>50</v>
      </c>
      <c r="G79" s="70" t="s">
        <v>30</v>
      </c>
    </row>
    <row r="80" spans="1:7" x14ac:dyDescent="0.2">
      <c r="A80" s="23" t="s">
        <v>28</v>
      </c>
      <c r="B80" t="s">
        <v>27</v>
      </c>
      <c r="C80" s="71">
        <v>2</v>
      </c>
      <c r="D80" s="71">
        <v>30</v>
      </c>
      <c r="E80" s="71">
        <v>100</v>
      </c>
      <c r="F80" s="71"/>
      <c r="G80" s="70" t="s">
        <v>26</v>
      </c>
    </row>
    <row r="82" spans="1:15" x14ac:dyDescent="0.2">
      <c r="A82" s="121"/>
      <c r="B82" s="121"/>
      <c r="C82" s="121"/>
      <c r="D82" s="121"/>
      <c r="E82" s="121"/>
      <c r="F82" s="121"/>
      <c r="G82" s="121"/>
      <c r="H82" s="121"/>
      <c r="I82" s="121"/>
      <c r="J82" s="121"/>
      <c r="K82" s="121"/>
      <c r="L82" s="121"/>
      <c r="M82" s="121"/>
      <c r="N82" s="121"/>
      <c r="O82" s="121"/>
    </row>
    <row r="83" spans="1:15" ht="21" x14ac:dyDescent="0.25">
      <c r="B83" s="114" t="s">
        <v>211</v>
      </c>
    </row>
    <row r="84" spans="1:15" ht="17" thickBot="1" x14ac:dyDescent="0.25"/>
    <row r="85" spans="1:15" ht="17" thickBot="1" x14ac:dyDescent="0.25">
      <c r="B85" s="21" t="s">
        <v>25</v>
      </c>
      <c r="H85" s="170" t="s">
        <v>20</v>
      </c>
      <c r="I85" s="171"/>
      <c r="J85" s="171"/>
      <c r="K85" s="171"/>
      <c r="L85" s="172"/>
    </row>
    <row r="86" spans="1:15" ht="90" x14ac:dyDescent="0.2">
      <c r="B86" s="20" t="s">
        <v>19</v>
      </c>
      <c r="C86" s="19" t="s">
        <v>18</v>
      </c>
      <c r="D86" s="19" t="s">
        <v>17</v>
      </c>
      <c r="E86" s="19" t="s">
        <v>16</v>
      </c>
      <c r="F86" s="19" t="s">
        <v>15</v>
      </c>
      <c r="G86" s="19" t="s">
        <v>14</v>
      </c>
      <c r="H86" s="18" t="str">
        <f>B28</f>
        <v>Mobile broadband live video</v>
      </c>
      <c r="I86" s="18" t="str">
        <f>B29</f>
        <v>Professional mobile video 8K 2D; Cloud VR 2K@90fps</v>
      </c>
      <c r="J86" s="18" t="str">
        <f>B30</f>
        <v>Cloud computer games for connected vehicles with 4K 3D graphics; Professional mobile video 4K 3D; Cloud VR 1018p@60fps</v>
      </c>
      <c r="K86" s="18" t="str">
        <f>B31</f>
        <v>Professional mobile video 4K 2D</v>
      </c>
      <c r="L86" s="17" t="str">
        <f>B32</f>
        <v>Cloud VR 720p@30fps</v>
      </c>
    </row>
    <row r="87" spans="1:15" x14ac:dyDescent="0.2">
      <c r="A87" s="11" t="s">
        <v>24</v>
      </c>
      <c r="B87" s="16" t="s">
        <v>221</v>
      </c>
      <c r="C87" s="11">
        <v>0.75</v>
      </c>
      <c r="D87" s="11" t="s">
        <v>13</v>
      </c>
      <c r="E87" s="11" t="s">
        <v>23</v>
      </c>
      <c r="F87" s="11" t="s">
        <v>22</v>
      </c>
      <c r="G87" s="11" t="s">
        <v>10</v>
      </c>
      <c r="H87" s="11" t="s">
        <v>8</v>
      </c>
      <c r="I87" s="11" t="s">
        <v>8</v>
      </c>
      <c r="J87" s="11" t="s">
        <v>8</v>
      </c>
      <c r="K87" s="11" t="s">
        <v>8</v>
      </c>
      <c r="L87" s="15" t="s">
        <v>8</v>
      </c>
    </row>
    <row r="88" spans="1:15" x14ac:dyDescent="0.2">
      <c r="B88" s="16" t="s">
        <v>226</v>
      </c>
      <c r="C88" s="11">
        <v>0.75</v>
      </c>
      <c r="D88" s="11" t="s">
        <v>13</v>
      </c>
      <c r="E88" s="11" t="s">
        <v>63</v>
      </c>
      <c r="F88" s="11" t="s">
        <v>22</v>
      </c>
      <c r="G88" s="11" t="s">
        <v>10</v>
      </c>
      <c r="H88" s="11" t="s">
        <v>8</v>
      </c>
      <c r="I88" s="11" t="s">
        <v>8</v>
      </c>
      <c r="J88" s="11" t="s">
        <v>8</v>
      </c>
      <c r="K88" s="11" t="s">
        <v>8</v>
      </c>
      <c r="L88" s="15" t="s">
        <v>8</v>
      </c>
    </row>
    <row r="89" spans="1:15" x14ac:dyDescent="0.2">
      <c r="B89" s="16"/>
      <c r="L89" s="15"/>
    </row>
    <row r="90" spans="1:15" x14ac:dyDescent="0.2">
      <c r="B90" s="16"/>
      <c r="L90" s="15"/>
    </row>
    <row r="91" spans="1:15" x14ac:dyDescent="0.2">
      <c r="B91" s="16"/>
      <c r="L91" s="15"/>
    </row>
    <row r="92" spans="1:15" x14ac:dyDescent="0.2">
      <c r="B92" s="16"/>
      <c r="L92" s="15"/>
    </row>
    <row r="93" spans="1:15" x14ac:dyDescent="0.2">
      <c r="B93" s="16"/>
      <c r="L93" s="15"/>
    </row>
    <row r="94" spans="1:15" ht="17" thickBot="1" x14ac:dyDescent="0.25">
      <c r="B94" s="14"/>
      <c r="C94" s="13"/>
      <c r="D94" s="13"/>
      <c r="E94" s="13"/>
      <c r="F94" s="13"/>
      <c r="G94" s="13"/>
      <c r="H94" s="13"/>
      <c r="I94" s="13"/>
      <c r="J94" s="13"/>
      <c r="K94" s="13"/>
      <c r="L94" s="12"/>
    </row>
    <row r="96" spans="1:15" ht="17" thickBot="1" x14ac:dyDescent="0.25"/>
    <row r="97" spans="1:12" ht="17" thickBot="1" x14ac:dyDescent="0.25">
      <c r="B97" s="21" t="s">
        <v>21</v>
      </c>
      <c r="H97" s="167" t="s">
        <v>20</v>
      </c>
      <c r="I97" s="168"/>
      <c r="J97" s="168"/>
      <c r="K97" s="168"/>
      <c r="L97" s="169"/>
    </row>
    <row r="98" spans="1:12" ht="75" x14ac:dyDescent="0.2">
      <c r="B98" s="20" t="s">
        <v>19</v>
      </c>
      <c r="C98" s="19" t="s">
        <v>18</v>
      </c>
      <c r="D98" s="19" t="s">
        <v>17</v>
      </c>
      <c r="E98" s="19" t="s">
        <v>16</v>
      </c>
      <c r="F98" s="19" t="s">
        <v>15</v>
      </c>
      <c r="G98" s="19" t="s">
        <v>14</v>
      </c>
      <c r="H98" s="18" t="str">
        <f>B35</f>
        <v>Mobile broadband live video; Cloud computer games for connected vehicles with 4K 3D graphics</v>
      </c>
      <c r="I98" s="18" t="str">
        <f>B36</f>
        <v>Industrial control</v>
      </c>
      <c r="J98" s="18" t="str">
        <f>B37</f>
        <v>Connectivity for drones</v>
      </c>
      <c r="K98" s="18">
        <f>B38</f>
        <v>0</v>
      </c>
      <c r="L98" s="17">
        <f>B39</f>
        <v>0</v>
      </c>
    </row>
    <row r="99" spans="1:12" x14ac:dyDescent="0.2">
      <c r="A99" s="11" t="s">
        <v>212</v>
      </c>
      <c r="B99" s="16" t="s">
        <v>222</v>
      </c>
      <c r="C99" s="11">
        <v>0.25</v>
      </c>
      <c r="D99" s="11" t="s">
        <v>13</v>
      </c>
      <c r="E99" s="11" t="s">
        <v>53</v>
      </c>
      <c r="F99" s="11" t="s">
        <v>22</v>
      </c>
      <c r="G99" s="11" t="s">
        <v>10</v>
      </c>
      <c r="H99" s="11" t="s">
        <v>8</v>
      </c>
      <c r="I99" s="11" t="s">
        <v>10</v>
      </c>
      <c r="J99" s="11" t="s">
        <v>8</v>
      </c>
      <c r="K99" s="11" t="s">
        <v>10</v>
      </c>
      <c r="L99" s="15" t="s">
        <v>10</v>
      </c>
    </row>
    <row r="100" spans="1:12" x14ac:dyDescent="0.2">
      <c r="B100" s="16" t="s">
        <v>223</v>
      </c>
      <c r="C100" s="11">
        <v>0.5</v>
      </c>
      <c r="D100" s="11" t="s">
        <v>13</v>
      </c>
      <c r="E100" s="11" t="s">
        <v>53</v>
      </c>
      <c r="F100" s="11" t="s">
        <v>22</v>
      </c>
      <c r="G100" s="11" t="s">
        <v>10</v>
      </c>
      <c r="H100" s="11" t="s">
        <v>10</v>
      </c>
      <c r="I100" s="11" t="s">
        <v>8</v>
      </c>
      <c r="J100" s="11" t="s">
        <v>10</v>
      </c>
      <c r="K100" s="11" t="s">
        <v>10</v>
      </c>
      <c r="L100" s="15" t="s">
        <v>10</v>
      </c>
    </row>
    <row r="101" spans="1:12" x14ac:dyDescent="0.2">
      <c r="B101" s="16" t="s">
        <v>224</v>
      </c>
      <c r="C101" s="11">
        <v>0.25</v>
      </c>
      <c r="D101" s="11" t="s">
        <v>13</v>
      </c>
      <c r="E101" s="11" t="s">
        <v>53</v>
      </c>
      <c r="F101" s="11" t="s">
        <v>11</v>
      </c>
      <c r="G101" s="11" t="s">
        <v>8</v>
      </c>
      <c r="H101" s="11" t="s">
        <v>8</v>
      </c>
      <c r="I101" s="11" t="s">
        <v>10</v>
      </c>
      <c r="J101" s="11" t="s">
        <v>8</v>
      </c>
      <c r="K101" s="11" t="s">
        <v>10</v>
      </c>
      <c r="L101" s="15" t="s">
        <v>10</v>
      </c>
    </row>
    <row r="102" spans="1:12" x14ac:dyDescent="0.2">
      <c r="B102" s="16" t="s">
        <v>225</v>
      </c>
      <c r="C102" s="11">
        <v>1.25</v>
      </c>
      <c r="D102" s="11" t="s">
        <v>13</v>
      </c>
      <c r="E102" s="11" t="s">
        <v>53</v>
      </c>
      <c r="F102" s="11" t="s">
        <v>22</v>
      </c>
      <c r="G102" s="11" t="s">
        <v>10</v>
      </c>
      <c r="H102" s="11" t="s">
        <v>8</v>
      </c>
      <c r="I102" s="11" t="s">
        <v>8</v>
      </c>
      <c r="J102" s="11" t="s">
        <v>8</v>
      </c>
      <c r="K102" s="11" t="s">
        <v>10</v>
      </c>
      <c r="L102" s="15" t="s">
        <v>10</v>
      </c>
    </row>
    <row r="103" spans="1:12" x14ac:dyDescent="0.2">
      <c r="B103" s="16"/>
      <c r="L103" s="15"/>
    </row>
    <row r="104" spans="1:12" x14ac:dyDescent="0.2">
      <c r="B104" s="16"/>
      <c r="L104" s="15"/>
    </row>
    <row r="105" spans="1:12" x14ac:dyDescent="0.2">
      <c r="B105" s="16"/>
      <c r="L105" s="15"/>
    </row>
    <row r="106" spans="1:12" ht="17" thickBot="1" x14ac:dyDescent="0.25">
      <c r="B106" s="14"/>
      <c r="C106" s="13"/>
      <c r="D106" s="13"/>
      <c r="E106" s="13"/>
      <c r="F106" s="13"/>
      <c r="G106" s="13"/>
      <c r="H106" s="13"/>
      <c r="I106" s="13"/>
      <c r="J106" s="13"/>
      <c r="K106" s="13"/>
      <c r="L106" s="12"/>
    </row>
  </sheetData>
  <mergeCells count="8">
    <mergeCell ref="H5:O5"/>
    <mergeCell ref="G19:H19"/>
    <mergeCell ref="I19:J19"/>
    <mergeCell ref="D27:D32"/>
    <mergeCell ref="D34:D39"/>
    <mergeCell ref="M11:O11"/>
    <mergeCell ref="H97:L97"/>
    <mergeCell ref="H85:L85"/>
  </mergeCells>
  <phoneticPr fontId="39" type="noConversion"/>
  <dataValidations count="6">
    <dataValidation type="list" allowBlank="1" showInputMessage="1" showErrorMessage="1" sqref="E99:E102" xr:uid="{52A29D24-88EA-4D42-8E3F-815C477689FD}">
      <formula1>$B$9:$B$10</formula1>
    </dataValidation>
    <dataValidation type="list" allowBlank="1" showInputMessage="1" showErrorMessage="1" sqref="E87" xr:uid="{547A8F90-0E03-4D3B-9F73-7EDA8CA71E66}">
      <formula1>$B$7:$B$8</formula1>
    </dataValidation>
    <dataValidation type="list" allowBlank="1" showInputMessage="1" showErrorMessage="1" sqref="G87:L88 G99:L102" xr:uid="{F185AF54-E108-4676-A25C-E352720ABF4D}">
      <formula1>$C$4:$D$4</formula1>
    </dataValidation>
    <dataValidation type="list" allowBlank="1" showInputMessage="1" showErrorMessage="1" sqref="G21 I21" xr:uid="{EE0D31A4-0E80-4BA0-AD4C-969DCBBDF897}">
      <formula1>$G$12:$J$12</formula1>
    </dataValidation>
    <dataValidation type="list" allowBlank="1" showInputMessage="1" showErrorMessage="1" sqref="I23 G23" xr:uid="{53E2BAA1-4327-458E-897C-7A13A47C9877}">
      <formula1>$G$14:$J$14</formula1>
    </dataValidation>
    <dataValidation type="list" allowBlank="1" showInputMessage="1" showErrorMessage="1" sqref="C20 D87:D88 D99:D102" xr:uid="{3C9FC177-0206-43F3-87F8-F7C65A3F4FE6}">
      <formula1>$M$12:$O$12</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7F66F3ED-56BE-491F-9E74-6DEE3D9EF761}">
          <x14:formula1>
            <xm:f>'DL linkLevel'!$C$26:$D$26</xm:f>
          </x14:formula1>
          <xm:sqref>F87:F88</xm:sqref>
        </x14:dataValidation>
        <x14:dataValidation type="list" allowBlank="1" showInputMessage="1" showErrorMessage="1" xr:uid="{DC93A429-9023-4535-BAD4-D4247434036D}">
          <x14:formula1>
            <xm:f>'UL linkLevel'!$C$26:$D$26</xm:f>
          </x14:formula1>
          <xm:sqref>F99:F102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80071-33CF-44A0-B320-621A935E3E37}">
  <sheetPr>
    <tabColor rgb="FF92D050"/>
  </sheetPr>
  <dimension ref="A1:AZ77"/>
  <sheetViews>
    <sheetView tabSelected="1" topLeftCell="J1" zoomScale="96" zoomScaleNormal="96" workbookViewId="0">
      <selection activeCell="AG2" sqref="AG2"/>
    </sheetView>
  </sheetViews>
  <sheetFormatPr baseColWidth="10" defaultColWidth="9.5" defaultRowHeight="16" x14ac:dyDescent="0.2"/>
  <cols>
    <col min="1" max="1" width="4.33203125" style="31" customWidth="1"/>
    <col min="2" max="2" width="44.1640625" style="31" customWidth="1"/>
    <col min="3" max="3" width="14.83203125" style="31" customWidth="1"/>
    <col min="4" max="4" width="13.33203125" style="31" customWidth="1"/>
    <col min="5" max="6" width="16.1640625" style="31" customWidth="1"/>
    <col min="7" max="7" width="17.5" style="31" customWidth="1"/>
    <col min="8" max="15" width="16.1640625" style="31" customWidth="1"/>
    <col min="16" max="16" width="16.6640625" style="31" customWidth="1"/>
    <col min="17" max="17" width="13.1640625" style="31" customWidth="1"/>
    <col min="18" max="18" width="15.83203125" style="31" customWidth="1"/>
    <col min="19" max="19" width="15" style="31" customWidth="1"/>
    <col min="20" max="20" width="12.5" style="31" customWidth="1"/>
    <col min="21" max="21" width="16.5" style="31" customWidth="1"/>
    <col min="22" max="16384" width="9.5" style="31"/>
  </cols>
  <sheetData>
    <row r="1" spans="1:20" customFormat="1" ht="40.5" customHeight="1" x14ac:dyDescent="0.2">
      <c r="A1" s="8" t="s">
        <v>207</v>
      </c>
    </row>
    <row r="2" spans="1:20" customFormat="1" ht="21" customHeight="1" thickBot="1" x14ac:dyDescent="0.25">
      <c r="A2" s="8"/>
      <c r="F2" s="153" t="s">
        <v>210</v>
      </c>
      <c r="G2" s="154"/>
    </row>
    <row r="3" spans="1:20" ht="17" thickBot="1" x14ac:dyDescent="0.25">
      <c r="B3" s="24" t="s">
        <v>43</v>
      </c>
      <c r="C3"/>
      <c r="F3" s="181" t="s">
        <v>221</v>
      </c>
      <c r="G3" s="182"/>
      <c r="H3"/>
      <c r="I3"/>
      <c r="J3"/>
      <c r="K3"/>
      <c r="L3"/>
      <c r="M3"/>
      <c r="N3"/>
      <c r="O3"/>
      <c r="P3"/>
      <c r="Q3"/>
      <c r="R3"/>
      <c r="S3"/>
      <c r="T3"/>
    </row>
    <row r="4" spans="1:20" x14ac:dyDescent="0.2">
      <c r="B4" t="s">
        <v>163</v>
      </c>
      <c r="C4" s="117" t="str">
        <f>BS_type</f>
        <v>Macro</v>
      </c>
      <c r="D4" s="70" t="s">
        <v>162</v>
      </c>
      <c r="F4" s="155" t="str">
        <f>VLOOKUP('DL linkLevel'!$F$3,Inputs!$B$86:$L$94,3,FALSE)</f>
        <v>Macro</v>
      </c>
      <c r="G4" s="156" t="b">
        <f>F4=C4</f>
        <v>1</v>
      </c>
      <c r="H4"/>
      <c r="I4"/>
      <c r="J4"/>
      <c r="K4"/>
      <c r="L4"/>
      <c r="M4"/>
      <c r="N4"/>
      <c r="O4"/>
      <c r="P4"/>
      <c r="Q4"/>
      <c r="R4"/>
      <c r="S4"/>
      <c r="T4"/>
    </row>
    <row r="5" spans="1:20" x14ac:dyDescent="0.2">
      <c r="B5" t="s">
        <v>29</v>
      </c>
      <c r="C5" s="163">
        <v>0.75</v>
      </c>
      <c r="D5" s="125" t="s">
        <v>161</v>
      </c>
      <c r="F5" s="157">
        <f>VLOOKUP('DL linkLevel'!$F$3,Inputs!$B$86:$L$94,2,FALSE)</f>
        <v>0.75</v>
      </c>
      <c r="G5" s="156" t="b">
        <f>F5=C5</f>
        <v>1</v>
      </c>
      <c r="H5"/>
      <c r="I5"/>
      <c r="J5"/>
      <c r="K5"/>
      <c r="L5"/>
      <c r="M5"/>
      <c r="N5"/>
      <c r="O5"/>
      <c r="P5"/>
      <c r="Q5"/>
      <c r="R5"/>
      <c r="S5"/>
      <c r="T5"/>
    </row>
    <row r="6" spans="1:20" x14ac:dyDescent="0.2">
      <c r="B6" t="s">
        <v>33</v>
      </c>
      <c r="C6" s="124" t="s">
        <v>10</v>
      </c>
      <c r="D6" s="125" t="s">
        <v>159</v>
      </c>
      <c r="F6" s="157" t="str">
        <f>VLOOKUP('DL linkLevel'!$F$3,Inputs!$B$86:$L$94,6,FALSE)</f>
        <v>No</v>
      </c>
      <c r="G6" s="156" t="b">
        <f>F6=C6</f>
        <v>1</v>
      </c>
      <c r="H6"/>
      <c r="I6"/>
      <c r="J6"/>
      <c r="K6"/>
      <c r="L6"/>
      <c r="M6"/>
      <c r="N6"/>
      <c r="O6"/>
      <c r="P6"/>
      <c r="Q6"/>
      <c r="R6"/>
      <c r="S6"/>
      <c r="T6"/>
    </row>
    <row r="7" spans="1:20" ht="17" thickBot="1" x14ac:dyDescent="0.25">
      <c r="B7" t="s">
        <v>158</v>
      </c>
      <c r="C7" s="73" t="s">
        <v>22</v>
      </c>
      <c r="D7" s="125" t="s">
        <v>157</v>
      </c>
      <c r="E7"/>
      <c r="F7" s="157" t="str">
        <f>VLOOKUP('DL linkLevel'!$F$3,Inputs!$B$86:$L$94,5,FALSE)</f>
        <v>SINR per layer (dB)</v>
      </c>
      <c r="G7" s="156" t="b">
        <f>F7=C7</f>
        <v>1</v>
      </c>
      <c r="H7"/>
      <c r="I7"/>
      <c r="J7"/>
      <c r="K7"/>
      <c r="L7"/>
      <c r="M7"/>
      <c r="N7"/>
      <c r="O7"/>
      <c r="P7"/>
      <c r="Q7"/>
      <c r="R7"/>
      <c r="S7"/>
      <c r="T7"/>
    </row>
    <row r="8" spans="1:20" ht="17" thickBot="1" x14ac:dyDescent="0.25">
      <c r="B8" t="s">
        <v>160</v>
      </c>
      <c r="C8" s="112" t="str">
        <f>CONCATENATE("Downlink SUT Distribution (Downlink ",DL_ratio*100,"%)")</f>
        <v>Downlink SUT Distribution (Downlink 75%)</v>
      </c>
      <c r="E8"/>
      <c r="F8" s="158"/>
      <c r="G8" s="159"/>
      <c r="H8"/>
      <c r="I8"/>
      <c r="J8"/>
      <c r="K8"/>
      <c r="L8"/>
      <c r="M8"/>
      <c r="N8"/>
      <c r="O8"/>
      <c r="P8"/>
      <c r="Q8"/>
      <c r="R8"/>
      <c r="S8"/>
      <c r="T8"/>
    </row>
    <row r="9" spans="1:20" x14ac:dyDescent="0.2">
      <c r="F9" s="158"/>
      <c r="G9" s="159"/>
      <c r="H9"/>
      <c r="I9"/>
      <c r="J9"/>
      <c r="K9"/>
      <c r="L9"/>
      <c r="M9"/>
      <c r="N9"/>
      <c r="O9"/>
      <c r="P9"/>
      <c r="Q9"/>
      <c r="R9"/>
      <c r="S9"/>
      <c r="T9"/>
    </row>
    <row r="10" spans="1:20" x14ac:dyDescent="0.2">
      <c r="B10" s="126" t="s">
        <v>156</v>
      </c>
      <c r="C10" s="127" t="s">
        <v>82</v>
      </c>
      <c r="D10" s="127" t="s">
        <v>155</v>
      </c>
      <c r="F10" s="158"/>
      <c r="G10" s="159"/>
      <c r="H10"/>
      <c r="I10"/>
      <c r="J10"/>
      <c r="K10"/>
      <c r="L10"/>
      <c r="M10"/>
      <c r="N10"/>
      <c r="O10"/>
      <c r="P10"/>
      <c r="Q10"/>
      <c r="R10"/>
      <c r="S10"/>
      <c r="T10"/>
    </row>
    <row r="11" spans="1:20" x14ac:dyDescent="0.2">
      <c r="B11" s="128" t="str">
        <f>Inputs!B28</f>
        <v>Mobile broadband live video</v>
      </c>
      <c r="C11" s="128">
        <f>Inputs!C28</f>
        <v>300</v>
      </c>
      <c r="D11" s="129" t="s">
        <v>8</v>
      </c>
      <c r="F11" s="157" t="str">
        <f>VLOOKUP('DL linkLevel'!$F$3,Inputs!$B$86:$L$94,7,FALSE)</f>
        <v>Yes</v>
      </c>
      <c r="G11" s="156" t="b">
        <f>F11=D11</f>
        <v>1</v>
      </c>
      <c r="H11"/>
      <c r="I11"/>
      <c r="J11"/>
      <c r="K11"/>
      <c r="L11"/>
      <c r="M11"/>
      <c r="N11"/>
      <c r="O11"/>
      <c r="P11"/>
      <c r="Q11"/>
      <c r="R11"/>
      <c r="S11"/>
      <c r="T11"/>
    </row>
    <row r="12" spans="1:20" x14ac:dyDescent="0.2">
      <c r="B12" s="128" t="str">
        <f>Inputs!B29</f>
        <v>Professional mobile video 8K 2D; Cloud VR 2K@90fps</v>
      </c>
      <c r="C12" s="128">
        <f>Inputs!C29</f>
        <v>100</v>
      </c>
      <c r="D12" s="129" t="s">
        <v>8</v>
      </c>
      <c r="F12" s="157" t="str">
        <f>VLOOKUP('DL linkLevel'!$F$3,Inputs!$B$86:$L$94,8,FALSE)</f>
        <v>Yes</v>
      </c>
      <c r="G12" s="156" t="b">
        <f t="shared" ref="G12:G15" si="0">F12=D12</f>
        <v>1</v>
      </c>
      <c r="H12"/>
      <c r="I12"/>
      <c r="J12"/>
      <c r="K12"/>
      <c r="L12"/>
      <c r="M12"/>
      <c r="N12"/>
      <c r="O12"/>
      <c r="P12"/>
      <c r="Q12"/>
      <c r="R12"/>
      <c r="S12"/>
      <c r="T12"/>
    </row>
    <row r="13" spans="1:20" ht="48" x14ac:dyDescent="0.2">
      <c r="B13" s="128" t="str">
        <f>Inputs!B30</f>
        <v>Cloud computer games for connected vehicles with 4K 3D graphics; Professional mobile video 4K 3D; Cloud VR 1018p@60fps</v>
      </c>
      <c r="C13" s="128">
        <f>Inputs!C30</f>
        <v>50</v>
      </c>
      <c r="D13" s="129" t="s">
        <v>8</v>
      </c>
      <c r="F13" s="157" t="str">
        <f>VLOOKUP('DL linkLevel'!$F$3,Inputs!$B$86:$L$94,9,FALSE)</f>
        <v>Yes</v>
      </c>
      <c r="G13" s="156" t="b">
        <f t="shared" si="0"/>
        <v>1</v>
      </c>
      <c r="H13"/>
      <c r="I13"/>
      <c r="J13"/>
      <c r="K13"/>
      <c r="L13"/>
      <c r="M13"/>
      <c r="N13"/>
      <c r="O13"/>
      <c r="P13"/>
      <c r="Q13"/>
      <c r="R13"/>
      <c r="S13"/>
      <c r="T13"/>
    </row>
    <row r="14" spans="1:20" x14ac:dyDescent="0.2">
      <c r="B14" s="128" t="str">
        <f>Inputs!B31</f>
        <v>Professional mobile video 4K 2D</v>
      </c>
      <c r="C14" s="128">
        <f>Inputs!C31</f>
        <v>25</v>
      </c>
      <c r="D14" s="129" t="s">
        <v>8</v>
      </c>
      <c r="F14" s="157" t="str">
        <f>VLOOKUP('DL linkLevel'!$F$3,Inputs!$B$86:$L$94,10,FALSE)</f>
        <v>Yes</v>
      </c>
      <c r="G14" s="156" t="b">
        <f t="shared" si="0"/>
        <v>1</v>
      </c>
      <c r="H14"/>
      <c r="I14"/>
      <c r="J14"/>
      <c r="K14"/>
      <c r="L14"/>
      <c r="M14"/>
      <c r="N14"/>
      <c r="O14"/>
      <c r="P14"/>
      <c r="Q14"/>
      <c r="R14"/>
      <c r="S14"/>
      <c r="T14"/>
    </row>
    <row r="15" spans="1:20" x14ac:dyDescent="0.2">
      <c r="B15" s="128" t="str">
        <f>Inputs!B32</f>
        <v>Cloud VR 720p@30fps</v>
      </c>
      <c r="C15" s="128">
        <f>Inputs!C32</f>
        <v>20</v>
      </c>
      <c r="D15" s="129" t="s">
        <v>8</v>
      </c>
      <c r="F15" s="157" t="str">
        <f>VLOOKUP('DL linkLevel'!$F$3,Inputs!$B$86:$L$94,11,FALSE)</f>
        <v>Yes</v>
      </c>
      <c r="G15" s="156" t="b">
        <f t="shared" si="0"/>
        <v>1</v>
      </c>
      <c r="H15"/>
      <c r="I15"/>
      <c r="J15"/>
      <c r="K15"/>
      <c r="L15"/>
      <c r="M15"/>
      <c r="N15"/>
      <c r="O15"/>
      <c r="P15"/>
      <c r="Q15"/>
      <c r="R15"/>
      <c r="S15"/>
      <c r="T15"/>
    </row>
    <row r="16" spans="1:20" x14ac:dyDescent="0.2">
      <c r="B16" s="32"/>
      <c r="C16" s="32"/>
      <c r="D16" s="32"/>
      <c r="F16" s="158"/>
      <c r="G16" s="159"/>
      <c r="H16"/>
      <c r="I16"/>
      <c r="J16"/>
      <c r="K16"/>
      <c r="L16"/>
      <c r="M16"/>
      <c r="N16"/>
      <c r="O16"/>
      <c r="P16"/>
      <c r="Q16"/>
      <c r="R16"/>
      <c r="S16"/>
      <c r="T16"/>
    </row>
    <row r="17" spans="1:26" x14ac:dyDescent="0.2">
      <c r="B17" t="s">
        <v>154</v>
      </c>
      <c r="C17" s="176" t="s">
        <v>23</v>
      </c>
      <c r="D17" s="176"/>
      <c r="F17" s="160" t="str">
        <f>VLOOKUP('DL linkLevel'!$F$3,Inputs!$B$86:$L$94,4,FALSE)</f>
        <v>DL 0.75 New</v>
      </c>
      <c r="G17" s="161" t="b">
        <f>F17=C17</f>
        <v>1</v>
      </c>
    </row>
    <row r="18" spans="1:26" ht="34" x14ac:dyDescent="0.2">
      <c r="B18" t="s">
        <v>153</v>
      </c>
      <c r="C18" s="177">
        <f>VLOOKUP('DL linkLevel'!C17,Inputs!B7:C8,2,FALSE)</f>
        <v>1</v>
      </c>
      <c r="D18" s="177"/>
      <c r="E18" s="125" t="s">
        <v>152</v>
      </c>
      <c r="F18"/>
      <c r="I18" s="130" t="s">
        <v>151</v>
      </c>
      <c r="J18" s="131">
        <v>2</v>
      </c>
      <c r="K18" s="132">
        <v>2</v>
      </c>
    </row>
    <row r="19" spans="1:26" ht="69" thickBot="1" x14ac:dyDescent="0.25">
      <c r="B19" s="25"/>
      <c r="C19" s="25" t="s">
        <v>48</v>
      </c>
      <c r="D19" s="25" t="s">
        <v>47</v>
      </c>
      <c r="E19" s="25" t="s">
        <v>46</v>
      </c>
      <c r="F19" s="25" t="s">
        <v>45</v>
      </c>
      <c r="G19" s="39" t="s">
        <v>150</v>
      </c>
      <c r="H19" s="37" t="s">
        <v>149</v>
      </c>
      <c r="I19" s="38" t="s">
        <v>148</v>
      </c>
      <c r="J19" s="38" t="s">
        <v>206</v>
      </c>
      <c r="K19" s="38" t="s">
        <v>146</v>
      </c>
      <c r="L19" s="38" t="s">
        <v>145</v>
      </c>
      <c r="M19" s="37" t="s">
        <v>144</v>
      </c>
      <c r="N19" s="37" t="s">
        <v>143</v>
      </c>
      <c r="O19" s="37" t="s">
        <v>142</v>
      </c>
      <c r="P19" s="32" t="s">
        <v>141</v>
      </c>
    </row>
    <row r="20" spans="1:26" ht="17" thickBot="1" x14ac:dyDescent="0.25">
      <c r="A20" s="65">
        <v>1</v>
      </c>
      <c r="B20" s="36" t="s">
        <v>42</v>
      </c>
      <c r="C20" s="117">
        <f>HLOOKUP(C$19,Inputs!$B$45:$F$60,DL_scenario_offset+$A20,FALSE)</f>
        <v>4</v>
      </c>
      <c r="D20" s="117">
        <f>HLOOKUP(D$19,Inputs!$B$45:$F$60,DL_scenario_offset+$A20,FALSE)</f>
        <v>30</v>
      </c>
      <c r="E20" s="117">
        <f>HLOOKUP(E$19,Inputs!$B$45:$F$60,DL_scenario_offset+$A20,FALSE)</f>
        <v>40</v>
      </c>
      <c r="F20" s="117">
        <f>HLOOKUP(F$19,Inputs!$B$45:$F$60,DL_scenario_offset+$A20,FALSE)</f>
        <v>0</v>
      </c>
      <c r="G20" s="122">
        <f>IF(F20=0,1,1-CA_Loss)</f>
        <v>1</v>
      </c>
      <c r="H20" s="122">
        <f>SUM(E20:F20)</f>
        <v>40</v>
      </c>
      <c r="I20" s="112">
        <f>VLOOKUP(D20,Inputs!$F$7:$G$9,2,FALSE)</f>
        <v>1</v>
      </c>
      <c r="J20" s="112">
        <f>IF(E20&gt;0,HLOOKUP(E20,Inputs!$H$6:$O$9,$I20+$J$18,FALSE),)</f>
        <v>106</v>
      </c>
      <c r="K20" s="112">
        <f>IF(F20&gt;0,HLOOKUP(F20,Inputs!$H$6:$O$9,$I20+$J$18,FALSE),)</f>
        <v>0</v>
      </c>
      <c r="L20" s="107">
        <f>C20*DL_ratio*DL_Qm*DL_f*DL_Rmax*(1-DL_OH)*Symbols*Subcarriers*(2^I20)*(J20+K20)/1000</f>
        <v>631.94391000000007</v>
      </c>
      <c r="M20" s="122">
        <f>((D20*Subcarriers*J20)+(D20*Subcarriers*K20))/1000</f>
        <v>38.159999999999997</v>
      </c>
      <c r="N20" s="123">
        <f>L20/(M20*C20*DL_ratio)</f>
        <v>5.5201250000000011</v>
      </c>
      <c r="O20" s="123">
        <f>IF(DL_scale="Yes",DL_NormBW*DL_NormLayers/(M20*C20),1)</f>
        <v>1</v>
      </c>
      <c r="P20" s="117" t="str">
        <f>HLOOKUP(P$19,Inputs!$B$45:$G$60,DL_scenario_offset+$A20,FALSE)</f>
        <v>Single carrier, 4 layers, scs 30 kHz, 40 MHz</v>
      </c>
    </row>
    <row r="21" spans="1:26" ht="17" thickBot="1" x14ac:dyDescent="0.25">
      <c r="A21" s="65">
        <v>2</v>
      </c>
      <c r="B21" s="36" t="s">
        <v>39</v>
      </c>
      <c r="C21" s="117">
        <f>HLOOKUP(C$19,Inputs!$B$45:$F$60,DL_scenario_offset+$A21,FALSE)</f>
        <v>4</v>
      </c>
      <c r="D21" s="117">
        <f>HLOOKUP(D$19,Inputs!$B$45:$F$60,DL_scenario_offset+$A21,FALSE)</f>
        <v>30</v>
      </c>
      <c r="E21" s="117">
        <f>HLOOKUP(E$19,Inputs!$B$45:$F$60,DL_scenario_offset+$A21,FALSE)</f>
        <v>50</v>
      </c>
      <c r="F21" s="117">
        <f>HLOOKUP(F$19,Inputs!$B$45:$F$60,DL_scenario_offset+$A21,FALSE)</f>
        <v>0</v>
      </c>
      <c r="G21" s="122">
        <f>IF(F21=0,1,1-CA_Loss)</f>
        <v>1</v>
      </c>
      <c r="H21" s="122">
        <f>SUM(E21:F21)</f>
        <v>50</v>
      </c>
      <c r="I21" s="112">
        <f>VLOOKUP(D21,Inputs!$F$7:$G$9,2,FALSE)</f>
        <v>1</v>
      </c>
      <c r="J21" s="112">
        <f>IF(E21&gt;0,HLOOKUP(E21,Inputs!$H$6:$O$9,$I21+$J$18,FALSE),)</f>
        <v>133</v>
      </c>
      <c r="K21" s="112">
        <f>IF(F21&gt;0,HLOOKUP(F21,Inputs!$H$6:$O$9,$I21+$J$18,FALSE),)</f>
        <v>0</v>
      </c>
      <c r="L21" s="107">
        <f>C21*DL_ratio*DL_Qm*DL_f*DL_Rmax*(1-DL_OH)*Symbols*Subcarriers*(2^I21)*(J21+K21)/1000</f>
        <v>792.91075500000011</v>
      </c>
      <c r="M21" s="122">
        <f>((D21*Subcarriers*J21)+(D21*Subcarriers*K21))/1000</f>
        <v>47.88</v>
      </c>
      <c r="N21" s="123">
        <f>L21/(M21*C21*DL_ratio)</f>
        <v>5.5201250000000002</v>
      </c>
      <c r="O21" s="123">
        <f>IF(DL_scale="Yes",DL_NormBW*DL_NormLayers/(M21*C21),1)</f>
        <v>1</v>
      </c>
      <c r="P21" s="117" t="str">
        <f>HLOOKUP(P$19,Inputs!$B$45:$G$60,DL_scenario_offset+$A21,FALSE)</f>
        <v xml:space="preserve">Single carrier, 4 layers, scs 30 kHz, 50 MHz </v>
      </c>
    </row>
    <row r="22" spans="1:26" ht="17" thickBot="1" x14ac:dyDescent="0.25">
      <c r="A22" s="65">
        <v>3</v>
      </c>
      <c r="B22" s="36" t="s">
        <v>36</v>
      </c>
      <c r="C22" s="117">
        <f>HLOOKUP(C$19,Inputs!$B$45:$F$60,DL_scenario_offset+$A22,FALSE)</f>
        <v>4</v>
      </c>
      <c r="D22" s="117">
        <f>HLOOKUP(D$19,Inputs!$B$45:$F$60,DL_scenario_offset+$A22,FALSE)</f>
        <v>30</v>
      </c>
      <c r="E22" s="117">
        <f>HLOOKUP(E$19,Inputs!$B$45:$F$60,DL_scenario_offset+$A22,FALSE)</f>
        <v>80</v>
      </c>
      <c r="F22" s="117">
        <f>HLOOKUP(F$19,Inputs!$B$45:$F$60,DL_scenario_offset+$A22,FALSE)</f>
        <v>0</v>
      </c>
      <c r="G22" s="122">
        <f>IF(F22=0,1,1-CA_Loss)</f>
        <v>1</v>
      </c>
      <c r="H22" s="122">
        <f>SUM(E22:F22)</f>
        <v>80</v>
      </c>
      <c r="I22" s="112">
        <f>VLOOKUP(D22,Inputs!$F$7:$G$9,2,FALSE)</f>
        <v>1</v>
      </c>
      <c r="J22" s="112">
        <f>IF(E22&gt;0,HLOOKUP(E22,Inputs!$H$6:$O$9,$I22+$J$18,FALSE),)</f>
        <v>217</v>
      </c>
      <c r="K22" s="112">
        <f>IF(F22&gt;0,HLOOKUP(F22,Inputs!$H$6:$O$9,$I22+$J$18,FALSE),)</f>
        <v>0</v>
      </c>
      <c r="L22" s="107">
        <f>C22*DL_ratio*DL_Qm*DL_f*DL_Rmax*(1-DL_OH)*Symbols*Subcarriers*(2^I22)*(J22+K22)/1000</f>
        <v>1293.6964950000001</v>
      </c>
      <c r="M22" s="122">
        <f>((D22*Subcarriers*J22)+(D22*Subcarriers*K22))/1000</f>
        <v>78.12</v>
      </c>
      <c r="N22" s="123">
        <f>L22/(M22*C22*DL_ratio)</f>
        <v>5.5201250000000002</v>
      </c>
      <c r="O22" s="123">
        <f>IF(DL_scale="Yes",DL_NormBW*DL_NormLayers/(M22*C22),1)</f>
        <v>1</v>
      </c>
      <c r="P22" s="117" t="str">
        <f>HLOOKUP(P$19,Inputs!$B$45:$G$60,DL_scenario_offset+$A22,FALSE)</f>
        <v>Single carrier, 4 layers, scs 30 kHz, 80 MHz</v>
      </c>
    </row>
    <row r="23" spans="1:26" ht="15.75" customHeight="1" thickBot="1" x14ac:dyDescent="0.25">
      <c r="A23" s="65">
        <v>4</v>
      </c>
      <c r="B23" s="36" t="s">
        <v>32</v>
      </c>
      <c r="C23" s="117">
        <f>HLOOKUP(C$19,Inputs!$B$45:$F$60,DL_scenario_offset+$A23,FALSE)</f>
        <v>4</v>
      </c>
      <c r="D23" s="117">
        <f>HLOOKUP(D$19,Inputs!$B$45:$F$60,DL_scenario_offset+$A23,FALSE)</f>
        <v>30</v>
      </c>
      <c r="E23" s="117">
        <f>HLOOKUP(E$19,Inputs!$B$45:$F$60,DL_scenario_offset+$A23,FALSE)</f>
        <v>40</v>
      </c>
      <c r="F23" s="117">
        <f>HLOOKUP(F$19,Inputs!$B$45:$F$60,DL_scenario_offset+$A23,FALSE)</f>
        <v>40</v>
      </c>
      <c r="G23" s="122">
        <f>IF(F23=0,1,1-CA_Loss)</f>
        <v>0.94</v>
      </c>
      <c r="H23" s="122">
        <f>SUM(E23:F23)</f>
        <v>80</v>
      </c>
      <c r="I23" s="112">
        <f>VLOOKUP(D23,Inputs!$F$7:$G$9,2,FALSE)</f>
        <v>1</v>
      </c>
      <c r="J23" s="112">
        <f>IF(E23&gt;0,HLOOKUP(E23,Inputs!$H$6:$O$9,$I23+$J$18,FALSE),)</f>
        <v>106</v>
      </c>
      <c r="K23" s="112">
        <f>IF(F23&gt;0,HLOOKUP(F23,Inputs!$H$6:$O$9,$I23+$J$18,FALSE),)</f>
        <v>106</v>
      </c>
      <c r="L23" s="107">
        <f>C23*DL_ratio*DL_Qm*DL_f*DL_Rmax*(1-DL_OH)*Symbols*Subcarriers*(2^I23)*(J23+K23)/1000</f>
        <v>1263.8878200000001</v>
      </c>
      <c r="M23" s="122">
        <f>((D23*Subcarriers*J23)+(D23*Subcarriers*K23))/1000</f>
        <v>76.319999999999993</v>
      </c>
      <c r="N23" s="123">
        <f>L23/(M23*C23*DL_ratio)</f>
        <v>5.5201250000000011</v>
      </c>
      <c r="O23" s="123">
        <f>IF(DL_scale="Yes",DL_NormBW*DL_NormLayers/(M23*C23),1)</f>
        <v>1</v>
      </c>
      <c r="P23" s="117" t="str">
        <f>HLOOKUP(P$19,Inputs!$B$45:$G$60,DL_scenario_offset+$A23,FALSE)</f>
        <v>Dual carrier, 4 layers, scs 30 kHz, 40 + 40 MHz</v>
      </c>
    </row>
    <row r="24" spans="1:26" ht="17" thickBot="1" x14ac:dyDescent="0.25">
      <c r="A24" s="65">
        <v>5</v>
      </c>
      <c r="B24" s="36" t="s">
        <v>28</v>
      </c>
      <c r="C24" s="117">
        <f>HLOOKUP(C$19,Inputs!$B$45:$F$60,DL_scenario_offset+$A24,FALSE)</f>
        <v>4</v>
      </c>
      <c r="D24" s="117">
        <f>HLOOKUP(D$19,Inputs!$B$45:$F$60,DL_scenario_offset+$A24,FALSE)</f>
        <v>30</v>
      </c>
      <c r="E24" s="117">
        <f>HLOOKUP(E$19,Inputs!$B$45:$F$60,DL_scenario_offset+$A24,FALSE)</f>
        <v>100</v>
      </c>
      <c r="F24" s="117">
        <f>HLOOKUP(F$19,Inputs!$B$45:$F$60,DL_scenario_offset+$A24,FALSE)</f>
        <v>0</v>
      </c>
      <c r="G24" s="122">
        <f>IF(F24=0,1,1-CA_Loss)</f>
        <v>1</v>
      </c>
      <c r="H24" s="122">
        <f>SUM(E24:F24)</f>
        <v>100</v>
      </c>
      <c r="I24" s="112">
        <f>VLOOKUP(D24,Inputs!$F$7:$G$9,2,FALSE)</f>
        <v>1</v>
      </c>
      <c r="J24" s="112">
        <f>IF(E24&gt;0,HLOOKUP(E24,Inputs!$H$6:$O$9,$I24+$J$18,FALSE),)</f>
        <v>273</v>
      </c>
      <c r="K24" s="112">
        <f>IF(F24&gt;0,HLOOKUP(F24,Inputs!$H$6:$O$9,$I24+$J$18,FALSE),)</f>
        <v>0</v>
      </c>
      <c r="L24" s="107">
        <f>C24*DL_ratio*DL_Qm*DL_f*DL_Rmax*(1-DL_OH)*Symbols*Subcarriers*(2^I24)*(J24+K24)/1000</f>
        <v>1627.5536550000002</v>
      </c>
      <c r="M24" s="122">
        <f>((D24*Subcarriers*J24)+(D24*Subcarriers*K24))/1000</f>
        <v>98.28</v>
      </c>
      <c r="N24" s="123">
        <f>L24/(M24*C24*DL_ratio)</f>
        <v>5.5201250000000002</v>
      </c>
      <c r="O24" s="123">
        <f>IF(DL_scale="Yes",DL_NormBW*DL_NormLayers/(M24*C24),1)</f>
        <v>1</v>
      </c>
      <c r="P24" s="117" t="str">
        <f>HLOOKUP(P$19,Inputs!$B$45:$G$60,DL_scenario_offset+$A24,FALSE)</f>
        <v xml:space="preserve">Single carrier, 4 layers, scs 30 kHz, 100 MHz </v>
      </c>
    </row>
    <row r="25" spans="1:26" ht="17" thickBot="1" x14ac:dyDescent="0.25">
      <c r="C25" s="23"/>
      <c r="G25" s="167" t="str">
        <f>B20</f>
        <v>Scenario 1</v>
      </c>
      <c r="H25" s="168"/>
      <c r="I25" s="169"/>
      <c r="J25" s="167" t="str">
        <f>B21</f>
        <v>Scenario 2</v>
      </c>
      <c r="K25" s="168"/>
      <c r="L25" s="169"/>
      <c r="M25" s="167" t="str">
        <f>B22</f>
        <v>Scenario 3</v>
      </c>
      <c r="N25" s="168"/>
      <c r="O25" s="169"/>
      <c r="P25" s="167" t="str">
        <f>B23</f>
        <v>Scenario 4</v>
      </c>
      <c r="Q25" s="168"/>
      <c r="R25" s="169"/>
      <c r="S25" s="167" t="str">
        <f>B24</f>
        <v>Scenario 5</v>
      </c>
      <c r="T25" s="168"/>
      <c r="U25" s="169"/>
      <c r="V25" s="178" t="s">
        <v>208</v>
      </c>
      <c r="W25" s="179"/>
      <c r="X25" s="179"/>
      <c r="Y25" s="179"/>
      <c r="Z25" s="180"/>
    </row>
    <row r="26" spans="1:26" ht="77" customHeight="1" thickBot="1" x14ac:dyDescent="0.25">
      <c r="C26" s="29" t="s">
        <v>22</v>
      </c>
      <c r="D26" s="32" t="s">
        <v>11</v>
      </c>
      <c r="E26" s="35" t="s">
        <v>140</v>
      </c>
      <c r="F26" s="32" t="s">
        <v>139</v>
      </c>
      <c r="G26" s="34" t="s">
        <v>138</v>
      </c>
      <c r="H26" s="33" t="s">
        <v>137</v>
      </c>
      <c r="I26" s="135" t="str">
        <f>INDEX(Inputs!$B$45:$G$60,DL_scenario_offset+$A20,1)</f>
        <v>40 MHz TDD 4x4 SU-MIMO</v>
      </c>
      <c r="J26" s="34" t="s">
        <v>138</v>
      </c>
      <c r="K26" s="33" t="s">
        <v>137</v>
      </c>
      <c r="L26" s="135" t="str">
        <f>INDEX(Inputs!$B$45:$G$60,DL_scenario_offset+$A21,1)</f>
        <v>50 MHz TDD 4x4 SU-MIMO</v>
      </c>
      <c r="M26" s="34" t="s">
        <v>138</v>
      </c>
      <c r="N26" s="33" t="s">
        <v>137</v>
      </c>
      <c r="O26" s="135" t="str">
        <f>INDEX(Inputs!$B$45:$G$60,DL_scenario_offset+$A22,1)</f>
        <v>80 MHz TDD 4x4 SU-MIMO</v>
      </c>
      <c r="P26" s="34" t="s">
        <v>138</v>
      </c>
      <c r="Q26" s="33" t="s">
        <v>137</v>
      </c>
      <c r="R26" s="135" t="str">
        <f>INDEX(Inputs!$B$45:$G$60,DL_scenario_offset+$A23,1)</f>
        <v xml:space="preserve">40 + 40 MHz 4x4 SU-MIMO </v>
      </c>
      <c r="S26" s="34" t="s">
        <v>138</v>
      </c>
      <c r="T26" s="33" t="s">
        <v>137</v>
      </c>
      <c r="U26" s="135" t="str">
        <f>INDEX(Inputs!$B$45:$G$60,DL_scenario_offset+$A24,1)</f>
        <v>100 MHz TDD 4x4 SU-MIMO</v>
      </c>
      <c r="V26" s="143" t="str">
        <f>IF($D$11="yes",B11,"service 1")</f>
        <v>Mobile broadband live video</v>
      </c>
      <c r="W26" s="144" t="str">
        <f>IF($D$12="yes",B12,"service 2")</f>
        <v>Professional mobile video 8K 2D; Cloud VR 2K@90fps</v>
      </c>
      <c r="X26" s="144" t="str">
        <f>IF($D$13="yes",B13,"service 3")</f>
        <v>Cloud computer games for connected vehicles with 4K 3D graphics; Professional mobile video 4K 3D; Cloud VR 1018p@60fps</v>
      </c>
      <c r="Y26" s="144" t="str">
        <f>IF($D$14="yes",B14,"service 4")</f>
        <v>Professional mobile video 4K 2D</v>
      </c>
      <c r="Z26" s="142" t="str">
        <f>IF($D$15="yes",B15,"service 5")</f>
        <v>Cloud VR 720p@30fps</v>
      </c>
    </row>
    <row r="27" spans="1:26" ht="14.5" customHeight="1" thickBot="1" x14ac:dyDescent="0.25">
      <c r="C27" s="82">
        <v>-10</v>
      </c>
      <c r="D27" s="107">
        <f t="shared" ref="D27:D58" si="1">DL_EIRP-(C27+DL_NormNoise)+DL_Rxgain</f>
        <v>192.96910013008056</v>
      </c>
      <c r="E27" s="133">
        <f t="shared" ref="E27:E58" si="2">IF(DL_Plot=$C$26,C27,IF($C$7=$D$26,D27,0))</f>
        <v>-10</v>
      </c>
      <c r="F27" s="134">
        <f t="shared" ref="F27:F58" si="3">10^(C27/10)</f>
        <v>0.1</v>
      </c>
      <c r="G27" s="136">
        <f t="shared" ref="G27:G58" si="4">DL_alpha*LOG(1 +($F27*$O$20),2)</f>
        <v>8.2502114249961012E-2</v>
      </c>
      <c r="H27" s="137">
        <f t="shared" ref="H27:H58" si="5">IF(G27&lt;=$N$20,G27,$N$20)</f>
        <v>8.2502114249961012E-2</v>
      </c>
      <c r="I27" s="138">
        <f t="shared" ref="I27:I58" si="6">$H27*$G$20*$M$20*$C$20*DL_ratio</f>
        <v>9.4448420393355352</v>
      </c>
      <c r="J27" s="136">
        <f t="shared" ref="J27:J58" si="7">DL_alpha*LOG(1 +($F27*$O$21),2)</f>
        <v>8.2502114249961012E-2</v>
      </c>
      <c r="K27" s="137">
        <f t="shared" ref="K27:K58" si="8">IF(J27&lt;=$N$20,J27,$N$20)</f>
        <v>8.2502114249961012E-2</v>
      </c>
      <c r="L27" s="138">
        <f t="shared" ref="L27:L58" si="9">$K27*$G$21*$M$21*$C$21*DL_ratio</f>
        <v>11.8506036908644</v>
      </c>
      <c r="M27" s="136">
        <f t="shared" ref="M27:M58" si="10">DL_alpha*LOG(1 +($F27*$O$22),2)</f>
        <v>8.2502114249961012E-2</v>
      </c>
      <c r="N27" s="137">
        <f t="shared" ref="N27:N58" si="11">IF(M27&lt;=$N$20,M27,$N$20)</f>
        <v>8.2502114249961012E-2</v>
      </c>
      <c r="O27" s="138">
        <f t="shared" ref="O27:O58" si="12">$N27*$G$22*$M$22*$C$22*DL_ratio</f>
        <v>19.335195495620862</v>
      </c>
      <c r="P27" s="136">
        <f t="shared" ref="P27:P58" si="13">DL_alpha*LOG(1 +($F27*$O$23),2)</f>
        <v>8.2502114249961012E-2</v>
      </c>
      <c r="Q27" s="137">
        <f t="shared" ref="Q27:Q58" si="14">IF(P27&lt;=$N$20,P27,$N$20)</f>
        <v>8.2502114249961012E-2</v>
      </c>
      <c r="R27" s="138">
        <f t="shared" ref="R27:R58" si="15">$Q27*$G$23*$M$23*$C$23*DL_ratio</f>
        <v>17.756303033950804</v>
      </c>
      <c r="S27" s="136">
        <f t="shared" ref="S27:S58" si="16">DL_alpha*LOG(1 +($F27*$O$24),2)</f>
        <v>8.2502114249961012E-2</v>
      </c>
      <c r="T27" s="137">
        <f t="shared" ref="T27:T58" si="17">IF(S27&lt;=$N$20,S27,$N$20)</f>
        <v>8.2502114249961012E-2</v>
      </c>
      <c r="U27" s="138">
        <f t="shared" ref="U27:U58" si="18">$T27*$G$24*$M$24*$C$24*DL_ratio</f>
        <v>24.324923365458506</v>
      </c>
      <c r="V27" s="143">
        <f t="shared" ref="V27:V58" si="19">IF($D$11="yes",$C$11,"")</f>
        <v>300</v>
      </c>
      <c r="W27" s="144">
        <f t="shared" ref="W27:W58" si="20">IF($D$12="yes",$C$12,"")</f>
        <v>100</v>
      </c>
      <c r="X27" s="144">
        <f t="shared" ref="X27:X58" si="21">IF($D$13="yes",$C$13,"")</f>
        <v>50</v>
      </c>
      <c r="Y27" s="144">
        <f t="shared" ref="Y27:Y58" si="22">IF($D$14="yes",$C$14,"")</f>
        <v>25</v>
      </c>
      <c r="Z27" s="142">
        <f t="shared" ref="Z27:Z58" si="23">IF($D$15="yes",$C$15,"")</f>
        <v>20</v>
      </c>
    </row>
    <row r="28" spans="1:26" ht="17" thickBot="1" x14ac:dyDescent="0.25">
      <c r="C28" s="82">
        <v>-9</v>
      </c>
      <c r="D28" s="107">
        <f t="shared" si="1"/>
        <v>191.96910013008056</v>
      </c>
      <c r="E28" s="133">
        <f t="shared" si="2"/>
        <v>-9</v>
      </c>
      <c r="F28" s="134">
        <f t="shared" si="3"/>
        <v>0.12589254117941667</v>
      </c>
      <c r="G28" s="136">
        <f t="shared" si="4"/>
        <v>0.1026414831086387</v>
      </c>
      <c r="H28" s="137">
        <f t="shared" si="5"/>
        <v>0.1026414831086387</v>
      </c>
      <c r="I28" s="138">
        <f t="shared" si="6"/>
        <v>11.750396986276957</v>
      </c>
      <c r="J28" s="136">
        <f t="shared" si="7"/>
        <v>0.1026414831086387</v>
      </c>
      <c r="K28" s="137">
        <f t="shared" si="8"/>
        <v>0.1026414831086387</v>
      </c>
      <c r="L28" s="138">
        <f t="shared" si="9"/>
        <v>14.743422633724862</v>
      </c>
      <c r="M28" s="136">
        <f t="shared" si="10"/>
        <v>0.1026414831086387</v>
      </c>
      <c r="N28" s="137">
        <f t="shared" si="11"/>
        <v>0.1026414831086387</v>
      </c>
      <c r="O28" s="138">
        <f t="shared" si="12"/>
        <v>24.055057981340568</v>
      </c>
      <c r="P28" s="136">
        <f t="shared" si="13"/>
        <v>0.1026414831086387</v>
      </c>
      <c r="Q28" s="137">
        <f t="shared" si="14"/>
        <v>0.1026414831086387</v>
      </c>
      <c r="R28" s="138">
        <f t="shared" si="15"/>
        <v>22.090746334200677</v>
      </c>
      <c r="S28" s="136">
        <f t="shared" si="16"/>
        <v>0.1026414831086387</v>
      </c>
      <c r="T28" s="137">
        <f t="shared" si="17"/>
        <v>0.1026414831086387</v>
      </c>
      <c r="U28" s="138">
        <f t="shared" si="18"/>
        <v>30.262814879751037</v>
      </c>
      <c r="V28" s="143">
        <f t="shared" si="19"/>
        <v>300</v>
      </c>
      <c r="W28" s="144">
        <f t="shared" si="20"/>
        <v>100</v>
      </c>
      <c r="X28" s="144">
        <f t="shared" si="21"/>
        <v>50</v>
      </c>
      <c r="Y28" s="144">
        <f t="shared" si="22"/>
        <v>25</v>
      </c>
      <c r="Z28" s="142">
        <f t="shared" si="23"/>
        <v>20</v>
      </c>
    </row>
    <row r="29" spans="1:26" ht="17" thickBot="1" x14ac:dyDescent="0.25">
      <c r="C29" s="82">
        <v>-8</v>
      </c>
      <c r="D29" s="107">
        <f t="shared" si="1"/>
        <v>190.96910013008056</v>
      </c>
      <c r="E29" s="133">
        <f t="shared" si="2"/>
        <v>-8</v>
      </c>
      <c r="F29" s="134">
        <f t="shared" si="3"/>
        <v>0.15848931924611132</v>
      </c>
      <c r="G29" s="136">
        <f t="shared" si="4"/>
        <v>0.12734684595623708</v>
      </c>
      <c r="H29" s="137">
        <f t="shared" si="5"/>
        <v>0.12734684595623708</v>
      </c>
      <c r="I29" s="138">
        <f t="shared" si="6"/>
        <v>14.578666925070019</v>
      </c>
      <c r="J29" s="136">
        <f t="shared" si="7"/>
        <v>0.12734684595623708</v>
      </c>
      <c r="K29" s="137">
        <f t="shared" si="8"/>
        <v>0.12734684595623708</v>
      </c>
      <c r="L29" s="138">
        <f t="shared" si="9"/>
        <v>18.292100953153895</v>
      </c>
      <c r="M29" s="136">
        <f t="shared" si="10"/>
        <v>0.12734684595623708</v>
      </c>
      <c r="N29" s="137">
        <f t="shared" si="11"/>
        <v>0.12734684595623708</v>
      </c>
      <c r="O29" s="138">
        <f t="shared" si="12"/>
        <v>29.845006818303723</v>
      </c>
      <c r="P29" s="136">
        <f t="shared" si="13"/>
        <v>0.12734684595623708</v>
      </c>
      <c r="Q29" s="137">
        <f t="shared" si="14"/>
        <v>0.12734684595623708</v>
      </c>
      <c r="R29" s="138">
        <f t="shared" si="15"/>
        <v>27.407893819131633</v>
      </c>
      <c r="S29" s="136">
        <f t="shared" si="16"/>
        <v>0.12734684595623708</v>
      </c>
      <c r="T29" s="137">
        <f t="shared" si="17"/>
        <v>0.12734684595623708</v>
      </c>
      <c r="U29" s="138">
        <f t="shared" si="18"/>
        <v>37.546944061736937</v>
      </c>
      <c r="V29" s="143">
        <f t="shared" si="19"/>
        <v>300</v>
      </c>
      <c r="W29" s="144">
        <f t="shared" si="20"/>
        <v>100</v>
      </c>
      <c r="X29" s="144">
        <f t="shared" si="21"/>
        <v>50</v>
      </c>
      <c r="Y29" s="144">
        <f t="shared" si="22"/>
        <v>25</v>
      </c>
      <c r="Z29" s="142">
        <f t="shared" si="23"/>
        <v>20</v>
      </c>
    </row>
    <row r="30" spans="1:26" ht="17" thickBot="1" x14ac:dyDescent="0.25">
      <c r="C30" s="82">
        <v>-7</v>
      </c>
      <c r="D30" s="107">
        <f t="shared" si="1"/>
        <v>189.96910013008056</v>
      </c>
      <c r="E30" s="133">
        <f t="shared" si="2"/>
        <v>-7</v>
      </c>
      <c r="F30" s="134">
        <f t="shared" si="3"/>
        <v>0.19952623149688795</v>
      </c>
      <c r="G30" s="136">
        <f t="shared" si="4"/>
        <v>0.15747882428452659</v>
      </c>
      <c r="H30" s="137">
        <f t="shared" si="5"/>
        <v>0.15747882428452659</v>
      </c>
      <c r="I30" s="138">
        <f t="shared" si="6"/>
        <v>18.028175804092605</v>
      </c>
      <c r="J30" s="136">
        <f t="shared" si="7"/>
        <v>0.15747882428452659</v>
      </c>
      <c r="K30" s="137">
        <f t="shared" si="8"/>
        <v>0.15747882428452659</v>
      </c>
      <c r="L30" s="138">
        <f t="shared" si="9"/>
        <v>22.6202583202294</v>
      </c>
      <c r="M30" s="136">
        <f t="shared" si="10"/>
        <v>0.15747882428452659</v>
      </c>
      <c r="N30" s="137">
        <f t="shared" si="11"/>
        <v>0.15747882428452659</v>
      </c>
      <c r="O30" s="138">
        <f t="shared" si="12"/>
        <v>36.906737259321659</v>
      </c>
      <c r="P30" s="136">
        <f t="shared" si="13"/>
        <v>0.15747882428452659</v>
      </c>
      <c r="Q30" s="137">
        <f t="shared" si="14"/>
        <v>0.15747882428452659</v>
      </c>
      <c r="R30" s="138">
        <f t="shared" si="15"/>
        <v>33.892970511694095</v>
      </c>
      <c r="S30" s="136">
        <f t="shared" si="16"/>
        <v>0.15747882428452659</v>
      </c>
      <c r="T30" s="137">
        <f t="shared" si="17"/>
        <v>0.15747882428452659</v>
      </c>
      <c r="U30" s="138">
        <f t="shared" si="18"/>
        <v>46.431056552049817</v>
      </c>
      <c r="V30" s="143">
        <f t="shared" si="19"/>
        <v>300</v>
      </c>
      <c r="W30" s="144">
        <f t="shared" si="20"/>
        <v>100</v>
      </c>
      <c r="X30" s="144">
        <f t="shared" si="21"/>
        <v>50</v>
      </c>
      <c r="Y30" s="144">
        <f t="shared" si="22"/>
        <v>25</v>
      </c>
      <c r="Z30" s="142">
        <f t="shared" si="23"/>
        <v>20</v>
      </c>
    </row>
    <row r="31" spans="1:26" ht="17" thickBot="1" x14ac:dyDescent="0.25">
      <c r="C31" s="82">
        <v>-6</v>
      </c>
      <c r="D31" s="107">
        <f t="shared" si="1"/>
        <v>188.96910013008056</v>
      </c>
      <c r="E31" s="133">
        <f t="shared" si="2"/>
        <v>-6</v>
      </c>
      <c r="F31" s="134">
        <f t="shared" si="3"/>
        <v>0.25118864315095801</v>
      </c>
      <c r="G31" s="136">
        <f t="shared" si="4"/>
        <v>0.19397959361630546</v>
      </c>
      <c r="H31" s="137">
        <f t="shared" si="5"/>
        <v>0.19397959361630546</v>
      </c>
      <c r="I31" s="138">
        <f t="shared" si="6"/>
        <v>22.206783877194646</v>
      </c>
      <c r="J31" s="136">
        <f t="shared" si="7"/>
        <v>0.19397959361630546</v>
      </c>
      <c r="K31" s="137">
        <f t="shared" si="8"/>
        <v>0.19397959361630546</v>
      </c>
      <c r="L31" s="138">
        <f t="shared" si="9"/>
        <v>27.863228827046115</v>
      </c>
      <c r="M31" s="136">
        <f t="shared" si="10"/>
        <v>0.19397959361630546</v>
      </c>
      <c r="N31" s="137">
        <f t="shared" si="11"/>
        <v>0.19397959361630546</v>
      </c>
      <c r="O31" s="138">
        <f t="shared" si="12"/>
        <v>45.46105755991735</v>
      </c>
      <c r="P31" s="136">
        <f t="shared" si="13"/>
        <v>0.19397959361630546</v>
      </c>
      <c r="Q31" s="137">
        <f t="shared" si="14"/>
        <v>0.19397959361630546</v>
      </c>
      <c r="R31" s="138">
        <f t="shared" si="15"/>
        <v>41.748753689125934</v>
      </c>
      <c r="S31" s="136">
        <f t="shared" si="16"/>
        <v>0.19397959361630546</v>
      </c>
      <c r="T31" s="137">
        <f t="shared" si="17"/>
        <v>0.19397959361630546</v>
      </c>
      <c r="U31" s="138">
        <f t="shared" si="18"/>
        <v>57.192943381831498</v>
      </c>
      <c r="V31" s="143">
        <f t="shared" si="19"/>
        <v>300</v>
      </c>
      <c r="W31" s="144">
        <f t="shared" si="20"/>
        <v>100</v>
      </c>
      <c r="X31" s="144">
        <f t="shared" si="21"/>
        <v>50</v>
      </c>
      <c r="Y31" s="144">
        <f t="shared" si="22"/>
        <v>25</v>
      </c>
      <c r="Z31" s="142">
        <f t="shared" si="23"/>
        <v>20</v>
      </c>
    </row>
    <row r="32" spans="1:26" ht="17" thickBot="1" x14ac:dyDescent="0.25">
      <c r="C32" s="82">
        <v>-5</v>
      </c>
      <c r="D32" s="107">
        <f t="shared" si="1"/>
        <v>187.96910013008056</v>
      </c>
      <c r="E32" s="133">
        <f t="shared" si="2"/>
        <v>-5</v>
      </c>
      <c r="F32" s="134">
        <f t="shared" si="3"/>
        <v>0.31622776601683794</v>
      </c>
      <c r="G32" s="136">
        <f t="shared" si="4"/>
        <v>0.23784549669786828</v>
      </c>
      <c r="H32" s="137">
        <f t="shared" si="5"/>
        <v>0.23784549669786828</v>
      </c>
      <c r="I32" s="138">
        <f t="shared" si="6"/>
        <v>27.228552461971958</v>
      </c>
      <c r="J32" s="136">
        <f t="shared" si="7"/>
        <v>0.23784549669786828</v>
      </c>
      <c r="K32" s="137">
        <f t="shared" si="8"/>
        <v>0.23784549669786828</v>
      </c>
      <c r="L32" s="138">
        <f t="shared" si="9"/>
        <v>34.164127145681803</v>
      </c>
      <c r="M32" s="136">
        <f t="shared" si="10"/>
        <v>0.23784549669786828</v>
      </c>
      <c r="N32" s="137">
        <f t="shared" si="11"/>
        <v>0.23784549669786828</v>
      </c>
      <c r="O32" s="138">
        <f t="shared" si="12"/>
        <v>55.741470606112415</v>
      </c>
      <c r="P32" s="136">
        <f t="shared" si="13"/>
        <v>0.23784549669786828</v>
      </c>
      <c r="Q32" s="137">
        <f t="shared" si="14"/>
        <v>0.23784549669786828</v>
      </c>
      <c r="R32" s="138">
        <f t="shared" si="15"/>
        <v>51.189678628507281</v>
      </c>
      <c r="S32" s="136">
        <f t="shared" si="16"/>
        <v>0.23784549669786828</v>
      </c>
      <c r="T32" s="137">
        <f t="shared" si="17"/>
        <v>0.23784549669786828</v>
      </c>
      <c r="U32" s="138">
        <f t="shared" si="18"/>
        <v>70.126366246399485</v>
      </c>
      <c r="V32" s="143">
        <f t="shared" si="19"/>
        <v>300</v>
      </c>
      <c r="W32" s="144">
        <f t="shared" si="20"/>
        <v>100</v>
      </c>
      <c r="X32" s="144">
        <f t="shared" si="21"/>
        <v>50</v>
      </c>
      <c r="Y32" s="144">
        <f t="shared" si="22"/>
        <v>25</v>
      </c>
      <c r="Z32" s="142">
        <f t="shared" si="23"/>
        <v>20</v>
      </c>
    </row>
    <row r="33" spans="3:52" ht="17" thickBot="1" x14ac:dyDescent="0.25">
      <c r="C33" s="82">
        <v>-4</v>
      </c>
      <c r="D33" s="107">
        <f t="shared" si="1"/>
        <v>186.96910013008056</v>
      </c>
      <c r="E33" s="133">
        <f t="shared" si="2"/>
        <v>-4</v>
      </c>
      <c r="F33" s="134">
        <f t="shared" si="3"/>
        <v>0.3981071705534972</v>
      </c>
      <c r="G33" s="136">
        <f t="shared" si="4"/>
        <v>0.29008497200740813</v>
      </c>
      <c r="H33" s="137">
        <f t="shared" si="5"/>
        <v>0.29008497200740813</v>
      </c>
      <c r="I33" s="138">
        <f t="shared" si="6"/>
        <v>33.208927595408078</v>
      </c>
      <c r="J33" s="136">
        <f t="shared" si="7"/>
        <v>0.29008497200740813</v>
      </c>
      <c r="K33" s="137">
        <f t="shared" si="8"/>
        <v>0.29008497200740813</v>
      </c>
      <c r="L33" s="138">
        <f t="shared" si="9"/>
        <v>41.667805379144106</v>
      </c>
      <c r="M33" s="136">
        <f t="shared" si="10"/>
        <v>0.29008497200740813</v>
      </c>
      <c r="N33" s="137">
        <f t="shared" si="11"/>
        <v>0.29008497200740813</v>
      </c>
      <c r="O33" s="138">
        <f t="shared" si="12"/>
        <v>67.984314039656169</v>
      </c>
      <c r="P33" s="136">
        <f t="shared" si="13"/>
        <v>0.29008497200740813</v>
      </c>
      <c r="Q33" s="137">
        <f t="shared" si="14"/>
        <v>0.29008497200740813</v>
      </c>
      <c r="R33" s="138">
        <f t="shared" si="15"/>
        <v>62.432783879367186</v>
      </c>
      <c r="S33" s="136">
        <f t="shared" si="16"/>
        <v>0.29008497200740813</v>
      </c>
      <c r="T33" s="137">
        <f t="shared" si="17"/>
        <v>0.29008497200740813</v>
      </c>
      <c r="U33" s="138">
        <f t="shared" si="18"/>
        <v>85.528653146664212</v>
      </c>
      <c r="V33" s="143">
        <f t="shared" si="19"/>
        <v>300</v>
      </c>
      <c r="W33" s="144">
        <f t="shared" si="20"/>
        <v>100</v>
      </c>
      <c r="X33" s="144">
        <f t="shared" si="21"/>
        <v>50</v>
      </c>
      <c r="Y33" s="144">
        <f t="shared" si="22"/>
        <v>25</v>
      </c>
      <c r="Z33" s="142">
        <f t="shared" si="23"/>
        <v>20</v>
      </c>
    </row>
    <row r="34" spans="3:52" ht="17" thickBot="1" x14ac:dyDescent="0.25">
      <c r="C34" s="82">
        <v>-3</v>
      </c>
      <c r="D34" s="107">
        <f t="shared" si="1"/>
        <v>185.96910013008056</v>
      </c>
      <c r="E34" s="133">
        <f t="shared" si="2"/>
        <v>-3</v>
      </c>
      <c r="F34" s="134">
        <f t="shared" si="3"/>
        <v>0.50118723362727224</v>
      </c>
      <c r="G34" s="136">
        <f t="shared" si="4"/>
        <v>0.35166235586720845</v>
      </c>
      <c r="H34" s="137">
        <f t="shared" si="5"/>
        <v>0.35166235586720845</v>
      </c>
      <c r="I34" s="138">
        <f t="shared" si="6"/>
        <v>40.258306499678021</v>
      </c>
      <c r="J34" s="136">
        <f t="shared" si="7"/>
        <v>0.35166235586720845</v>
      </c>
      <c r="K34" s="137">
        <f t="shared" si="8"/>
        <v>0.35166235586720845</v>
      </c>
      <c r="L34" s="138">
        <f t="shared" si="9"/>
        <v>50.512780796765824</v>
      </c>
      <c r="M34" s="136">
        <f t="shared" si="10"/>
        <v>0.35166235586720845</v>
      </c>
      <c r="N34" s="137">
        <f t="shared" si="11"/>
        <v>0.35166235586720845</v>
      </c>
      <c r="O34" s="138">
        <f t="shared" si="12"/>
        <v>82.415589721038984</v>
      </c>
      <c r="P34" s="136">
        <f t="shared" si="13"/>
        <v>0.35166235586720845</v>
      </c>
      <c r="Q34" s="137">
        <f t="shared" si="14"/>
        <v>0.35166235586720845</v>
      </c>
      <c r="R34" s="138">
        <f t="shared" si="15"/>
        <v>75.685616219394674</v>
      </c>
      <c r="S34" s="136">
        <f t="shared" si="16"/>
        <v>0.35166235586720845</v>
      </c>
      <c r="T34" s="137">
        <f t="shared" si="17"/>
        <v>0.35166235586720845</v>
      </c>
      <c r="U34" s="138">
        <f t="shared" si="18"/>
        <v>103.68412900388773</v>
      </c>
      <c r="V34" s="143">
        <f t="shared" si="19"/>
        <v>300</v>
      </c>
      <c r="W34" s="144">
        <f t="shared" si="20"/>
        <v>100</v>
      </c>
      <c r="X34" s="144">
        <f t="shared" si="21"/>
        <v>50</v>
      </c>
      <c r="Y34" s="144">
        <f t="shared" si="22"/>
        <v>25</v>
      </c>
      <c r="Z34" s="142">
        <f t="shared" si="23"/>
        <v>20</v>
      </c>
    </row>
    <row r="35" spans="3:52" ht="17" thickBot="1" x14ac:dyDescent="0.25">
      <c r="C35" s="82">
        <v>-2</v>
      </c>
      <c r="D35" s="107">
        <f t="shared" si="1"/>
        <v>184.96910013008056</v>
      </c>
      <c r="E35" s="133">
        <f t="shared" si="2"/>
        <v>-2</v>
      </c>
      <c r="F35" s="134">
        <f t="shared" si="3"/>
        <v>0.63095734448019325</v>
      </c>
      <c r="G35" s="136">
        <f t="shared" si="4"/>
        <v>0.42343143046410814</v>
      </c>
      <c r="H35" s="137">
        <f t="shared" si="5"/>
        <v>0.42343143046410814</v>
      </c>
      <c r="I35" s="138">
        <f t="shared" si="6"/>
        <v>48.474430159531096</v>
      </c>
      <c r="J35" s="136">
        <f t="shared" si="7"/>
        <v>0.42343143046410814</v>
      </c>
      <c r="K35" s="137">
        <f t="shared" si="8"/>
        <v>0.42343143046410814</v>
      </c>
      <c r="L35" s="138">
        <f t="shared" si="9"/>
        <v>60.821690671864488</v>
      </c>
      <c r="M35" s="136">
        <f t="shared" si="10"/>
        <v>0.42343143046410814</v>
      </c>
      <c r="N35" s="137">
        <f t="shared" si="11"/>
        <v>0.42343143046410814</v>
      </c>
      <c r="O35" s="138">
        <f t="shared" si="12"/>
        <v>99.235390043568387</v>
      </c>
      <c r="P35" s="136">
        <f t="shared" si="13"/>
        <v>0.42343143046410814</v>
      </c>
      <c r="Q35" s="137">
        <f t="shared" si="14"/>
        <v>0.42343143046410814</v>
      </c>
      <c r="R35" s="138">
        <f t="shared" si="15"/>
        <v>91.131928699918447</v>
      </c>
      <c r="S35" s="136">
        <f t="shared" si="16"/>
        <v>0.42343143046410814</v>
      </c>
      <c r="T35" s="137">
        <f t="shared" si="17"/>
        <v>0.42343143046410814</v>
      </c>
      <c r="U35" s="138">
        <f t="shared" si="18"/>
        <v>124.84452295803763</v>
      </c>
      <c r="V35" s="143">
        <f t="shared" si="19"/>
        <v>300</v>
      </c>
      <c r="W35" s="144">
        <f t="shared" si="20"/>
        <v>100</v>
      </c>
      <c r="X35" s="144">
        <f t="shared" si="21"/>
        <v>50</v>
      </c>
      <c r="Y35" s="144">
        <f t="shared" si="22"/>
        <v>25</v>
      </c>
      <c r="Z35" s="142">
        <f t="shared" si="23"/>
        <v>20</v>
      </c>
    </row>
    <row r="36" spans="3:52" ht="17" thickBot="1" x14ac:dyDescent="0.25">
      <c r="C36" s="82">
        <v>-1</v>
      </c>
      <c r="D36" s="107">
        <f t="shared" si="1"/>
        <v>183.96910013008056</v>
      </c>
      <c r="E36" s="133">
        <f t="shared" si="2"/>
        <v>-1</v>
      </c>
      <c r="F36" s="134">
        <f t="shared" si="3"/>
        <v>0.79432823472428149</v>
      </c>
      <c r="G36" s="136">
        <f t="shared" si="4"/>
        <v>0.50606629512219148</v>
      </c>
      <c r="H36" s="137">
        <f t="shared" si="5"/>
        <v>0.50606629512219148</v>
      </c>
      <c r="I36" s="138">
        <f t="shared" si="6"/>
        <v>57.934469465588478</v>
      </c>
      <c r="J36" s="136">
        <f t="shared" si="7"/>
        <v>0.50606629512219148</v>
      </c>
      <c r="K36" s="137">
        <f t="shared" si="8"/>
        <v>0.50606629512219148</v>
      </c>
      <c r="L36" s="138">
        <f t="shared" si="9"/>
        <v>72.691362631351581</v>
      </c>
      <c r="M36" s="136">
        <f t="shared" si="10"/>
        <v>0.50606629512219148</v>
      </c>
      <c r="N36" s="137">
        <f t="shared" si="11"/>
        <v>0.50606629512219148</v>
      </c>
      <c r="O36" s="138">
        <f t="shared" si="12"/>
        <v>118.6016969248368</v>
      </c>
      <c r="P36" s="136">
        <f t="shared" si="13"/>
        <v>0.50606629512219148</v>
      </c>
      <c r="Q36" s="137">
        <f t="shared" si="14"/>
        <v>0.50606629512219148</v>
      </c>
      <c r="R36" s="138">
        <f t="shared" si="15"/>
        <v>108.91680259530632</v>
      </c>
      <c r="S36" s="136">
        <f t="shared" si="16"/>
        <v>0.50606629512219148</v>
      </c>
      <c r="T36" s="137">
        <f t="shared" si="17"/>
        <v>0.50606629512219148</v>
      </c>
      <c r="U36" s="138">
        <f t="shared" si="18"/>
        <v>149.20858645382694</v>
      </c>
      <c r="V36" s="143">
        <f t="shared" si="19"/>
        <v>300</v>
      </c>
      <c r="W36" s="144">
        <f t="shared" si="20"/>
        <v>100</v>
      </c>
      <c r="X36" s="144">
        <f t="shared" si="21"/>
        <v>50</v>
      </c>
      <c r="Y36" s="144">
        <f t="shared" si="22"/>
        <v>25</v>
      </c>
      <c r="Z36" s="142">
        <f t="shared" si="23"/>
        <v>20</v>
      </c>
    </row>
    <row r="37" spans="3:52" ht="17" thickBot="1" x14ac:dyDescent="0.25">
      <c r="C37" s="82">
        <v>0</v>
      </c>
      <c r="D37" s="107">
        <f t="shared" si="1"/>
        <v>182.96910013008056</v>
      </c>
      <c r="E37" s="133">
        <f t="shared" si="2"/>
        <v>0</v>
      </c>
      <c r="F37" s="134">
        <f t="shared" si="3"/>
        <v>1</v>
      </c>
      <c r="G37" s="136">
        <f t="shared" si="4"/>
        <v>0.6</v>
      </c>
      <c r="H37" s="137">
        <f t="shared" si="5"/>
        <v>0.6</v>
      </c>
      <c r="I37" s="138">
        <f t="shared" si="6"/>
        <v>68.687999999999988</v>
      </c>
      <c r="J37" s="136">
        <f t="shared" si="7"/>
        <v>0.6</v>
      </c>
      <c r="K37" s="137">
        <f t="shared" si="8"/>
        <v>0.6</v>
      </c>
      <c r="L37" s="138">
        <f t="shared" si="9"/>
        <v>86.183999999999997</v>
      </c>
      <c r="M37" s="136">
        <f t="shared" si="10"/>
        <v>0.6</v>
      </c>
      <c r="N37" s="137">
        <f t="shared" si="11"/>
        <v>0.6</v>
      </c>
      <c r="O37" s="138">
        <f t="shared" si="12"/>
        <v>140.61599999999999</v>
      </c>
      <c r="P37" s="136">
        <f t="shared" si="13"/>
        <v>0.6</v>
      </c>
      <c r="Q37" s="137">
        <f t="shared" si="14"/>
        <v>0.6</v>
      </c>
      <c r="R37" s="138">
        <f t="shared" si="15"/>
        <v>129.13343999999998</v>
      </c>
      <c r="S37" s="136">
        <f t="shared" si="16"/>
        <v>0.6</v>
      </c>
      <c r="T37" s="137">
        <f t="shared" si="17"/>
        <v>0.6</v>
      </c>
      <c r="U37" s="138">
        <f t="shared" si="18"/>
        <v>176.904</v>
      </c>
      <c r="V37" s="143">
        <f t="shared" si="19"/>
        <v>300</v>
      </c>
      <c r="W37" s="144">
        <f t="shared" si="20"/>
        <v>100</v>
      </c>
      <c r="X37" s="144">
        <f t="shared" si="21"/>
        <v>50</v>
      </c>
      <c r="Y37" s="144">
        <f t="shared" si="22"/>
        <v>25</v>
      </c>
      <c r="Z37" s="142">
        <f t="shared" si="23"/>
        <v>20</v>
      </c>
      <c r="AZ37" s="31">
        <f>69*100/40</f>
        <v>172.5</v>
      </c>
    </row>
    <row r="38" spans="3:52" ht="17" thickBot="1" x14ac:dyDescent="0.25">
      <c r="C38" s="82">
        <v>1</v>
      </c>
      <c r="D38" s="107">
        <f t="shared" si="1"/>
        <v>181.96910013008056</v>
      </c>
      <c r="E38" s="133">
        <f t="shared" si="2"/>
        <v>1</v>
      </c>
      <c r="F38" s="134">
        <f t="shared" si="3"/>
        <v>1.2589254117941673</v>
      </c>
      <c r="G38" s="136">
        <f t="shared" si="4"/>
        <v>0.70538198081543324</v>
      </c>
      <c r="H38" s="137">
        <f t="shared" si="5"/>
        <v>0.70538198081543324</v>
      </c>
      <c r="I38" s="138">
        <f t="shared" si="6"/>
        <v>80.752129163750794</v>
      </c>
      <c r="J38" s="136">
        <f t="shared" si="7"/>
        <v>0.70538198081543324</v>
      </c>
      <c r="K38" s="137">
        <f t="shared" si="8"/>
        <v>0.70538198081543324</v>
      </c>
      <c r="L38" s="138">
        <f t="shared" si="9"/>
        <v>101.32106772432883</v>
      </c>
      <c r="M38" s="136">
        <f t="shared" si="10"/>
        <v>0.70538198081543324</v>
      </c>
      <c r="N38" s="137">
        <f t="shared" si="11"/>
        <v>0.70538198081543324</v>
      </c>
      <c r="O38" s="138">
        <f t="shared" si="12"/>
        <v>165.31332102390493</v>
      </c>
      <c r="P38" s="136">
        <f t="shared" si="13"/>
        <v>0.70538198081543324</v>
      </c>
      <c r="Q38" s="137">
        <f t="shared" si="14"/>
        <v>0.70538198081543324</v>
      </c>
      <c r="R38" s="138">
        <f t="shared" si="15"/>
        <v>151.81400282785148</v>
      </c>
      <c r="S38" s="136">
        <f t="shared" si="16"/>
        <v>0.70538198081543324</v>
      </c>
      <c r="T38" s="137">
        <f t="shared" si="17"/>
        <v>0.70538198081543324</v>
      </c>
      <c r="U38" s="138">
        <f t="shared" si="18"/>
        <v>207.97482322362231</v>
      </c>
      <c r="V38" s="143">
        <f t="shared" si="19"/>
        <v>300</v>
      </c>
      <c r="W38" s="144">
        <f t="shared" si="20"/>
        <v>100</v>
      </c>
      <c r="X38" s="144">
        <f t="shared" si="21"/>
        <v>50</v>
      </c>
      <c r="Y38" s="144">
        <f t="shared" si="22"/>
        <v>25</v>
      </c>
      <c r="Z38" s="142">
        <f t="shared" si="23"/>
        <v>20</v>
      </c>
    </row>
    <row r="39" spans="3:52" ht="17" thickBot="1" x14ac:dyDescent="0.25">
      <c r="C39" s="82">
        <v>2</v>
      </c>
      <c r="D39" s="107">
        <f t="shared" si="1"/>
        <v>180.96910013008056</v>
      </c>
      <c r="E39" s="133">
        <f t="shared" si="2"/>
        <v>2</v>
      </c>
      <c r="F39" s="134">
        <f t="shared" si="3"/>
        <v>1.5848931924611136</v>
      </c>
      <c r="G39" s="136">
        <f t="shared" si="4"/>
        <v>0.82206280185059166</v>
      </c>
      <c r="H39" s="137">
        <f t="shared" si="5"/>
        <v>0.82206280185059166</v>
      </c>
      <c r="I39" s="138">
        <f t="shared" si="6"/>
        <v>94.109749555855728</v>
      </c>
      <c r="J39" s="136">
        <f t="shared" si="7"/>
        <v>0.82206280185059166</v>
      </c>
      <c r="K39" s="137">
        <f t="shared" si="8"/>
        <v>0.82206280185059166</v>
      </c>
      <c r="L39" s="138">
        <f t="shared" si="9"/>
        <v>118.081100857819</v>
      </c>
      <c r="M39" s="136">
        <f t="shared" si="10"/>
        <v>0.82206280185059166</v>
      </c>
      <c r="N39" s="137">
        <f t="shared" si="11"/>
        <v>0.82206280185059166</v>
      </c>
      <c r="O39" s="138">
        <f t="shared" si="12"/>
        <v>192.65863824170467</v>
      </c>
      <c r="P39" s="136">
        <f t="shared" si="13"/>
        <v>0.82206280185059166</v>
      </c>
      <c r="Q39" s="137">
        <f t="shared" si="14"/>
        <v>0.82206280185059166</v>
      </c>
      <c r="R39" s="138">
        <f t="shared" si="15"/>
        <v>176.92632916500875</v>
      </c>
      <c r="S39" s="136">
        <f t="shared" si="16"/>
        <v>0.82206280185059166</v>
      </c>
      <c r="T39" s="137">
        <f t="shared" si="17"/>
        <v>0.82206280185059166</v>
      </c>
      <c r="U39" s="138">
        <f t="shared" si="18"/>
        <v>242.37699649762845</v>
      </c>
      <c r="V39" s="143">
        <f t="shared" si="19"/>
        <v>300</v>
      </c>
      <c r="W39" s="144">
        <f t="shared" si="20"/>
        <v>100</v>
      </c>
      <c r="X39" s="144">
        <f t="shared" si="21"/>
        <v>50</v>
      </c>
      <c r="Y39" s="144">
        <f t="shared" si="22"/>
        <v>25</v>
      </c>
      <c r="Z39" s="142">
        <f t="shared" si="23"/>
        <v>20</v>
      </c>
    </row>
    <row r="40" spans="3:52" ht="17" thickBot="1" x14ac:dyDescent="0.25">
      <c r="C40" s="82">
        <v>3</v>
      </c>
      <c r="D40" s="107">
        <f t="shared" si="1"/>
        <v>179.96910013008056</v>
      </c>
      <c r="E40" s="133">
        <f t="shared" si="2"/>
        <v>3</v>
      </c>
      <c r="F40" s="134">
        <f t="shared" si="3"/>
        <v>1.9952623149688797</v>
      </c>
      <c r="G40" s="136">
        <f t="shared" si="4"/>
        <v>0.94960941294693368</v>
      </c>
      <c r="H40" s="137">
        <f t="shared" si="5"/>
        <v>0.94960941294693368</v>
      </c>
      <c r="I40" s="138">
        <f t="shared" si="6"/>
        <v>108.71128559416496</v>
      </c>
      <c r="J40" s="136">
        <f t="shared" si="7"/>
        <v>0.94960941294693368</v>
      </c>
      <c r="K40" s="137">
        <f t="shared" si="8"/>
        <v>0.94960941294693368</v>
      </c>
      <c r="L40" s="138">
        <f t="shared" si="9"/>
        <v>136.40189607569755</v>
      </c>
      <c r="M40" s="136">
        <f t="shared" si="10"/>
        <v>0.94960941294693368</v>
      </c>
      <c r="N40" s="137">
        <f t="shared" si="11"/>
        <v>0.94960941294693368</v>
      </c>
      <c r="O40" s="138">
        <f t="shared" si="12"/>
        <v>222.55046201824342</v>
      </c>
      <c r="P40" s="136">
        <f t="shared" si="13"/>
        <v>0.94960941294693368</v>
      </c>
      <c r="Q40" s="137">
        <f t="shared" si="14"/>
        <v>0.94960941294693368</v>
      </c>
      <c r="R40" s="138">
        <f t="shared" si="15"/>
        <v>204.37721691703013</v>
      </c>
      <c r="S40" s="136">
        <f t="shared" si="16"/>
        <v>0.94960941294693368</v>
      </c>
      <c r="T40" s="137">
        <f t="shared" si="17"/>
        <v>0.94960941294693368</v>
      </c>
      <c r="U40" s="138">
        <f t="shared" si="18"/>
        <v>279.98283931327393</v>
      </c>
      <c r="V40" s="143">
        <f t="shared" si="19"/>
        <v>300</v>
      </c>
      <c r="W40" s="144">
        <f t="shared" si="20"/>
        <v>100</v>
      </c>
      <c r="X40" s="144">
        <f t="shared" si="21"/>
        <v>50</v>
      </c>
      <c r="Y40" s="144">
        <f t="shared" si="22"/>
        <v>25</v>
      </c>
      <c r="Z40" s="142">
        <f t="shared" si="23"/>
        <v>20</v>
      </c>
    </row>
    <row r="41" spans="3:52" ht="17" thickBot="1" x14ac:dyDescent="0.25">
      <c r="C41" s="82">
        <v>4</v>
      </c>
      <c r="D41" s="107">
        <f t="shared" si="1"/>
        <v>178.96910013008056</v>
      </c>
      <c r="E41" s="133">
        <f t="shared" si="2"/>
        <v>4</v>
      </c>
      <c r="F41" s="134">
        <f t="shared" si="3"/>
        <v>2.5118864315095806</v>
      </c>
      <c r="G41" s="136">
        <f t="shared" si="4"/>
        <v>1.0873477147803754</v>
      </c>
      <c r="H41" s="137">
        <f t="shared" si="5"/>
        <v>1.0873477147803754</v>
      </c>
      <c r="I41" s="138">
        <f t="shared" si="6"/>
        <v>124.47956638805735</v>
      </c>
      <c r="J41" s="136">
        <f t="shared" si="7"/>
        <v>1.0873477147803754</v>
      </c>
      <c r="K41" s="137">
        <f t="shared" si="8"/>
        <v>1.0873477147803754</v>
      </c>
      <c r="L41" s="138">
        <f t="shared" si="9"/>
        <v>156.18662575105313</v>
      </c>
      <c r="M41" s="136">
        <f t="shared" si="10"/>
        <v>1.0873477147803754</v>
      </c>
      <c r="N41" s="137">
        <f t="shared" si="11"/>
        <v>1.0873477147803754</v>
      </c>
      <c r="O41" s="138">
        <f t="shared" si="12"/>
        <v>254.83081043592878</v>
      </c>
      <c r="P41" s="136">
        <f t="shared" si="13"/>
        <v>1.0873477147803754</v>
      </c>
      <c r="Q41" s="137">
        <f t="shared" si="14"/>
        <v>1.0873477147803754</v>
      </c>
      <c r="R41" s="138">
        <f t="shared" si="15"/>
        <v>234.02158480954785</v>
      </c>
      <c r="S41" s="136">
        <f t="shared" si="16"/>
        <v>1.0873477147803754</v>
      </c>
      <c r="T41" s="137">
        <f t="shared" si="17"/>
        <v>1.0873477147803754</v>
      </c>
      <c r="U41" s="138">
        <f t="shared" si="18"/>
        <v>320.59360022584588</v>
      </c>
      <c r="V41" s="143">
        <f t="shared" si="19"/>
        <v>300</v>
      </c>
      <c r="W41" s="144">
        <f t="shared" si="20"/>
        <v>100</v>
      </c>
      <c r="X41" s="144">
        <f t="shared" si="21"/>
        <v>50</v>
      </c>
      <c r="Y41" s="144">
        <f t="shared" si="22"/>
        <v>25</v>
      </c>
      <c r="Z41" s="142">
        <f t="shared" si="23"/>
        <v>20</v>
      </c>
    </row>
    <row r="42" spans="3:52" ht="17" thickBot="1" x14ac:dyDescent="0.25">
      <c r="C42" s="82">
        <v>5</v>
      </c>
      <c r="D42" s="107">
        <f t="shared" si="1"/>
        <v>177.96910013008056</v>
      </c>
      <c r="E42" s="133">
        <f t="shared" si="2"/>
        <v>5</v>
      </c>
      <c r="F42" s="134">
        <f t="shared" si="3"/>
        <v>3.1622776601683795</v>
      </c>
      <c r="G42" s="136">
        <f t="shared" si="4"/>
        <v>1.234423925164077</v>
      </c>
      <c r="H42" s="137">
        <f t="shared" si="5"/>
        <v>1.234423925164077</v>
      </c>
      <c r="I42" s="138">
        <f t="shared" si="6"/>
        <v>141.31685095278351</v>
      </c>
      <c r="J42" s="136">
        <f t="shared" si="7"/>
        <v>1.234423925164077</v>
      </c>
      <c r="K42" s="137">
        <f t="shared" si="8"/>
        <v>1.234423925164077</v>
      </c>
      <c r="L42" s="138">
        <f t="shared" si="9"/>
        <v>177.31265261056802</v>
      </c>
      <c r="M42" s="136">
        <f t="shared" si="10"/>
        <v>1.234423925164077</v>
      </c>
      <c r="N42" s="137">
        <f t="shared" si="11"/>
        <v>1.234423925164077</v>
      </c>
      <c r="O42" s="138">
        <f t="shared" si="12"/>
        <v>289.29959110145307</v>
      </c>
      <c r="P42" s="136">
        <f t="shared" si="13"/>
        <v>1.234423925164077</v>
      </c>
      <c r="Q42" s="137">
        <f t="shared" si="14"/>
        <v>1.234423925164077</v>
      </c>
      <c r="R42" s="138">
        <f t="shared" si="15"/>
        <v>265.67567979123299</v>
      </c>
      <c r="S42" s="136">
        <f t="shared" si="16"/>
        <v>1.234423925164077</v>
      </c>
      <c r="T42" s="137">
        <f t="shared" si="17"/>
        <v>1.234423925164077</v>
      </c>
      <c r="U42" s="138">
        <f t="shared" si="18"/>
        <v>363.95755009537646</v>
      </c>
      <c r="V42" s="143">
        <f t="shared" si="19"/>
        <v>300</v>
      </c>
      <c r="W42" s="144">
        <f t="shared" si="20"/>
        <v>100</v>
      </c>
      <c r="X42" s="144">
        <f t="shared" si="21"/>
        <v>50</v>
      </c>
      <c r="Y42" s="144">
        <f t="shared" si="22"/>
        <v>25</v>
      </c>
      <c r="Z42" s="142">
        <f t="shared" si="23"/>
        <v>20</v>
      </c>
    </row>
    <row r="43" spans="3:52" ht="17" thickBot="1" x14ac:dyDescent="0.25">
      <c r="C43" s="82">
        <v>6</v>
      </c>
      <c r="D43" s="107">
        <f t="shared" si="1"/>
        <v>176.96910013008056</v>
      </c>
      <c r="E43" s="133">
        <f t="shared" si="2"/>
        <v>6</v>
      </c>
      <c r="F43" s="134">
        <f t="shared" si="3"/>
        <v>3.9810717055349727</v>
      </c>
      <c r="G43" s="136">
        <f t="shared" si="4"/>
        <v>1.3898737077757557</v>
      </c>
      <c r="H43" s="137">
        <f t="shared" si="5"/>
        <v>1.3898737077757557</v>
      </c>
      <c r="I43" s="138">
        <f t="shared" si="6"/>
        <v>159.11274206616849</v>
      </c>
      <c r="J43" s="136">
        <f t="shared" si="7"/>
        <v>1.3898737077757557</v>
      </c>
      <c r="K43" s="137">
        <f t="shared" si="8"/>
        <v>1.3898737077757557</v>
      </c>
      <c r="L43" s="138">
        <f t="shared" si="9"/>
        <v>199.64145938490952</v>
      </c>
      <c r="M43" s="136">
        <f t="shared" si="10"/>
        <v>1.3898737077757557</v>
      </c>
      <c r="N43" s="137">
        <f t="shared" si="11"/>
        <v>1.3898737077757557</v>
      </c>
      <c r="O43" s="138">
        <f t="shared" si="12"/>
        <v>325.73080215432611</v>
      </c>
      <c r="P43" s="136">
        <f t="shared" si="13"/>
        <v>1.3898737077757557</v>
      </c>
      <c r="Q43" s="137">
        <f t="shared" si="14"/>
        <v>1.3898737077757557</v>
      </c>
      <c r="R43" s="138">
        <f t="shared" si="15"/>
        <v>299.13195508439674</v>
      </c>
      <c r="S43" s="136">
        <f t="shared" si="16"/>
        <v>1.3898737077757557</v>
      </c>
      <c r="T43" s="137">
        <f t="shared" si="17"/>
        <v>1.3898737077757557</v>
      </c>
      <c r="U43" s="138">
        <f t="shared" si="18"/>
        <v>409.79036400060374</v>
      </c>
      <c r="V43" s="143">
        <f t="shared" si="19"/>
        <v>300</v>
      </c>
      <c r="W43" s="144">
        <f t="shared" si="20"/>
        <v>100</v>
      </c>
      <c r="X43" s="144">
        <f t="shared" si="21"/>
        <v>50</v>
      </c>
      <c r="Y43" s="144">
        <f t="shared" si="22"/>
        <v>25</v>
      </c>
      <c r="Z43" s="142">
        <f t="shared" si="23"/>
        <v>20</v>
      </c>
    </row>
    <row r="44" spans="3:52" ht="17" thickBot="1" x14ac:dyDescent="0.25">
      <c r="C44" s="82">
        <v>7</v>
      </c>
      <c r="D44" s="107">
        <f t="shared" si="1"/>
        <v>175.96910013008056</v>
      </c>
      <c r="E44" s="133">
        <f t="shared" si="2"/>
        <v>7</v>
      </c>
      <c r="F44" s="134">
        <f t="shared" si="3"/>
        <v>5.0118723362727229</v>
      </c>
      <c r="G44" s="136">
        <f t="shared" si="4"/>
        <v>1.5526886241372189</v>
      </c>
      <c r="H44" s="137">
        <f t="shared" si="5"/>
        <v>1.5526886241372189</v>
      </c>
      <c r="I44" s="138">
        <f t="shared" si="6"/>
        <v>177.75179369122881</v>
      </c>
      <c r="J44" s="136">
        <f t="shared" si="7"/>
        <v>1.5526886241372189</v>
      </c>
      <c r="K44" s="137">
        <f t="shared" si="8"/>
        <v>1.5526886241372189</v>
      </c>
      <c r="L44" s="138">
        <f t="shared" si="9"/>
        <v>223.02819397107015</v>
      </c>
      <c r="M44" s="136">
        <f t="shared" si="10"/>
        <v>1.5526886241372189</v>
      </c>
      <c r="N44" s="137">
        <f t="shared" si="11"/>
        <v>1.5526886241372189</v>
      </c>
      <c r="O44" s="138">
        <f t="shared" si="12"/>
        <v>363.88810595279864</v>
      </c>
      <c r="P44" s="136">
        <f t="shared" si="13"/>
        <v>1.5526886241372189</v>
      </c>
      <c r="Q44" s="137">
        <f t="shared" si="14"/>
        <v>1.5526886241372189</v>
      </c>
      <c r="R44" s="138">
        <f t="shared" si="15"/>
        <v>334.17337213951009</v>
      </c>
      <c r="S44" s="136">
        <f t="shared" si="16"/>
        <v>1.5526886241372189</v>
      </c>
      <c r="T44" s="137">
        <f t="shared" si="17"/>
        <v>1.5526886241372189</v>
      </c>
      <c r="U44" s="138">
        <f t="shared" si="18"/>
        <v>457.79471394061761</v>
      </c>
      <c r="V44" s="143">
        <f t="shared" si="19"/>
        <v>300</v>
      </c>
      <c r="W44" s="144">
        <f t="shared" si="20"/>
        <v>100</v>
      </c>
      <c r="X44" s="144">
        <f t="shared" si="21"/>
        <v>50</v>
      </c>
      <c r="Y44" s="144">
        <f t="shared" si="22"/>
        <v>25</v>
      </c>
      <c r="Z44" s="142">
        <f t="shared" si="23"/>
        <v>20</v>
      </c>
    </row>
    <row r="45" spans="3:52" ht="17" thickBot="1" x14ac:dyDescent="0.25">
      <c r="C45" s="82">
        <v>8</v>
      </c>
      <c r="D45" s="107">
        <f t="shared" si="1"/>
        <v>174.96910013008056</v>
      </c>
      <c r="E45" s="133">
        <f t="shared" si="2"/>
        <v>8</v>
      </c>
      <c r="F45" s="134">
        <f t="shared" si="3"/>
        <v>6.3095734448019343</v>
      </c>
      <c r="G45" s="136">
        <f t="shared" si="4"/>
        <v>1.7218723315021713</v>
      </c>
      <c r="H45" s="137">
        <f t="shared" si="5"/>
        <v>1.7218723315021713</v>
      </c>
      <c r="I45" s="138">
        <f t="shared" si="6"/>
        <v>197.11994451036855</v>
      </c>
      <c r="J45" s="136">
        <f t="shared" si="7"/>
        <v>1.7218723315021713</v>
      </c>
      <c r="K45" s="137">
        <f t="shared" si="8"/>
        <v>1.7218723315021713</v>
      </c>
      <c r="L45" s="138">
        <f t="shared" si="9"/>
        <v>247.32974169697189</v>
      </c>
      <c r="M45" s="136">
        <f t="shared" si="10"/>
        <v>1.7218723315021713</v>
      </c>
      <c r="N45" s="137">
        <f t="shared" si="11"/>
        <v>1.7218723315021713</v>
      </c>
      <c r="O45" s="138">
        <f t="shared" si="12"/>
        <v>403.53799961084894</v>
      </c>
      <c r="P45" s="136">
        <f t="shared" si="13"/>
        <v>1.7218723315021713</v>
      </c>
      <c r="Q45" s="137">
        <f t="shared" si="14"/>
        <v>1.7218723315021713</v>
      </c>
      <c r="R45" s="138">
        <f t="shared" si="15"/>
        <v>370.58549567949291</v>
      </c>
      <c r="S45" s="136">
        <f t="shared" si="16"/>
        <v>1.7218723315021713</v>
      </c>
      <c r="T45" s="137">
        <f t="shared" si="17"/>
        <v>1.7218723315021713</v>
      </c>
      <c r="U45" s="138">
        <f t="shared" si="18"/>
        <v>507.67683822010019</v>
      </c>
      <c r="V45" s="143">
        <f t="shared" si="19"/>
        <v>300</v>
      </c>
      <c r="W45" s="144">
        <f t="shared" si="20"/>
        <v>100</v>
      </c>
      <c r="X45" s="144">
        <f t="shared" si="21"/>
        <v>50</v>
      </c>
      <c r="Y45" s="144">
        <f t="shared" si="22"/>
        <v>25</v>
      </c>
      <c r="Z45" s="142">
        <f t="shared" si="23"/>
        <v>20</v>
      </c>
    </row>
    <row r="46" spans="3:52" ht="17" thickBot="1" x14ac:dyDescent="0.25">
      <c r="C46" s="82">
        <v>9</v>
      </c>
      <c r="D46" s="107">
        <f t="shared" si="1"/>
        <v>173.96910013008056</v>
      </c>
      <c r="E46" s="133">
        <f t="shared" si="2"/>
        <v>9</v>
      </c>
      <c r="F46" s="134">
        <f t="shared" si="3"/>
        <v>7.9432823472428176</v>
      </c>
      <c r="G46" s="136">
        <f t="shared" si="4"/>
        <v>1.8964826543478146</v>
      </c>
      <c r="H46" s="137">
        <f t="shared" si="5"/>
        <v>1.8964826543478146</v>
      </c>
      <c r="I46" s="138">
        <f t="shared" si="6"/>
        <v>217.10933426973781</v>
      </c>
      <c r="J46" s="136">
        <f t="shared" si="7"/>
        <v>1.8964826543478146</v>
      </c>
      <c r="K46" s="137">
        <f t="shared" si="8"/>
        <v>1.8964826543478146</v>
      </c>
      <c r="L46" s="138">
        <f t="shared" si="9"/>
        <v>272.41076847052011</v>
      </c>
      <c r="M46" s="136">
        <f t="shared" si="10"/>
        <v>1.8964826543478146</v>
      </c>
      <c r="N46" s="137">
        <f t="shared" si="11"/>
        <v>1.8964826543478146</v>
      </c>
      <c r="O46" s="138">
        <f t="shared" si="12"/>
        <v>444.45967487295383</v>
      </c>
      <c r="P46" s="136">
        <f t="shared" si="13"/>
        <v>1.8964826543478146</v>
      </c>
      <c r="Q46" s="137">
        <f t="shared" si="14"/>
        <v>1.8964826543478146</v>
      </c>
      <c r="R46" s="138">
        <f t="shared" si="15"/>
        <v>408.16554842710701</v>
      </c>
      <c r="S46" s="136">
        <f t="shared" si="16"/>
        <v>1.8964826543478146</v>
      </c>
      <c r="T46" s="137">
        <f t="shared" si="17"/>
        <v>1.8964826543478146</v>
      </c>
      <c r="U46" s="138">
        <f t="shared" si="18"/>
        <v>559.15894580790973</v>
      </c>
      <c r="V46" s="143">
        <f t="shared" si="19"/>
        <v>300</v>
      </c>
      <c r="W46" s="144">
        <f t="shared" si="20"/>
        <v>100</v>
      </c>
      <c r="X46" s="144">
        <f t="shared" si="21"/>
        <v>50</v>
      </c>
      <c r="Y46" s="144">
        <f t="shared" si="22"/>
        <v>25</v>
      </c>
      <c r="Z46" s="142">
        <f t="shared" si="23"/>
        <v>20</v>
      </c>
    </row>
    <row r="47" spans="3:52" ht="17" thickBot="1" x14ac:dyDescent="0.25">
      <c r="C47" s="82">
        <v>10</v>
      </c>
      <c r="D47" s="107">
        <f t="shared" si="1"/>
        <v>172.96910013008056</v>
      </c>
      <c r="E47" s="133">
        <f t="shared" si="2"/>
        <v>10</v>
      </c>
      <c r="F47" s="134">
        <f t="shared" si="3"/>
        <v>10</v>
      </c>
      <c r="G47" s="136">
        <f t="shared" si="4"/>
        <v>2.0756589711823787</v>
      </c>
      <c r="H47" s="137">
        <f t="shared" si="5"/>
        <v>2.0756589711823787</v>
      </c>
      <c r="I47" s="138">
        <f t="shared" si="6"/>
        <v>237.62143902095869</v>
      </c>
      <c r="J47" s="136">
        <f t="shared" si="7"/>
        <v>2.0756589711823787</v>
      </c>
      <c r="K47" s="137">
        <f t="shared" si="8"/>
        <v>2.0756589711823787</v>
      </c>
      <c r="L47" s="138">
        <f t="shared" si="9"/>
        <v>298.1476546206369</v>
      </c>
      <c r="M47" s="136">
        <f t="shared" si="10"/>
        <v>2.0756589711823787</v>
      </c>
      <c r="N47" s="137">
        <f t="shared" si="11"/>
        <v>2.0756589711823787</v>
      </c>
      <c r="O47" s="138">
        <f t="shared" si="12"/>
        <v>486.45143648630233</v>
      </c>
      <c r="P47" s="136">
        <f t="shared" si="13"/>
        <v>2.0756589711823787</v>
      </c>
      <c r="Q47" s="137">
        <f t="shared" si="14"/>
        <v>2.0756589711823787</v>
      </c>
      <c r="R47" s="138">
        <f t="shared" si="15"/>
        <v>446.72830535940233</v>
      </c>
      <c r="S47" s="136">
        <f t="shared" si="16"/>
        <v>2.0756589711823787</v>
      </c>
      <c r="T47" s="137">
        <f t="shared" si="17"/>
        <v>2.0756589711823787</v>
      </c>
      <c r="U47" s="138">
        <f t="shared" si="18"/>
        <v>611.98729106341261</v>
      </c>
      <c r="V47" s="143">
        <f t="shared" si="19"/>
        <v>300</v>
      </c>
      <c r="W47" s="144">
        <f t="shared" si="20"/>
        <v>100</v>
      </c>
      <c r="X47" s="144">
        <f t="shared" si="21"/>
        <v>50</v>
      </c>
      <c r="Y47" s="144">
        <f t="shared" si="22"/>
        <v>25</v>
      </c>
      <c r="Z47" s="142">
        <f t="shared" si="23"/>
        <v>20</v>
      </c>
    </row>
    <row r="48" spans="3:52" ht="17" thickBot="1" x14ac:dyDescent="0.25">
      <c r="C48" s="82">
        <v>11</v>
      </c>
      <c r="D48" s="107">
        <f t="shared" si="1"/>
        <v>171.96910013008056</v>
      </c>
      <c r="E48" s="133">
        <f t="shared" si="2"/>
        <v>11</v>
      </c>
      <c r="F48" s="134">
        <f t="shared" si="3"/>
        <v>12.58925411794168</v>
      </c>
      <c r="G48" s="136">
        <f t="shared" si="4"/>
        <v>2.2586366202257175</v>
      </c>
      <c r="H48" s="137">
        <f t="shared" si="5"/>
        <v>2.2586366202257175</v>
      </c>
      <c r="I48" s="138">
        <f t="shared" si="6"/>
        <v>258.56872028344014</v>
      </c>
      <c r="J48" s="136">
        <f t="shared" si="7"/>
        <v>2.2586366202257175</v>
      </c>
      <c r="K48" s="137">
        <f t="shared" si="8"/>
        <v>2.2586366202257175</v>
      </c>
      <c r="L48" s="138">
        <f t="shared" si="9"/>
        <v>324.43056412922209</v>
      </c>
      <c r="M48" s="136">
        <f t="shared" si="10"/>
        <v>2.2586366202257175</v>
      </c>
      <c r="N48" s="137">
        <f t="shared" si="11"/>
        <v>2.2586366202257175</v>
      </c>
      <c r="O48" s="138">
        <f t="shared" si="12"/>
        <v>529.33407831609918</v>
      </c>
      <c r="P48" s="136">
        <f t="shared" si="13"/>
        <v>2.2586366202257175</v>
      </c>
      <c r="Q48" s="137">
        <f t="shared" si="14"/>
        <v>2.2586366202257175</v>
      </c>
      <c r="R48" s="138">
        <f t="shared" si="15"/>
        <v>486.1091941328674</v>
      </c>
      <c r="S48" s="136">
        <f t="shared" si="16"/>
        <v>2.2586366202257175</v>
      </c>
      <c r="T48" s="137">
        <f t="shared" si="17"/>
        <v>2.2586366202257175</v>
      </c>
      <c r="U48" s="138">
        <f t="shared" si="18"/>
        <v>665.9364211073505</v>
      </c>
      <c r="V48" s="143">
        <f t="shared" si="19"/>
        <v>300</v>
      </c>
      <c r="W48" s="144">
        <f t="shared" si="20"/>
        <v>100</v>
      </c>
      <c r="X48" s="144">
        <f t="shared" si="21"/>
        <v>50</v>
      </c>
      <c r="Y48" s="144">
        <f t="shared" si="22"/>
        <v>25</v>
      </c>
      <c r="Z48" s="142">
        <f t="shared" si="23"/>
        <v>20</v>
      </c>
    </row>
    <row r="49" spans="3:26" ht="17" thickBot="1" x14ac:dyDescent="0.25">
      <c r="C49" s="82">
        <v>12</v>
      </c>
      <c r="D49" s="107">
        <f t="shared" si="1"/>
        <v>170.96910013008056</v>
      </c>
      <c r="E49" s="133">
        <f t="shared" si="2"/>
        <v>12</v>
      </c>
      <c r="F49" s="134">
        <f t="shared" si="3"/>
        <v>15.848931924611136</v>
      </c>
      <c r="G49" s="136">
        <f t="shared" si="4"/>
        <v>2.4447511409432563</v>
      </c>
      <c r="H49" s="137">
        <f t="shared" si="5"/>
        <v>2.4447511409432563</v>
      </c>
      <c r="I49" s="138">
        <f t="shared" si="6"/>
        <v>279.87511061518398</v>
      </c>
      <c r="J49" s="136">
        <f t="shared" si="7"/>
        <v>2.4447511409432563</v>
      </c>
      <c r="K49" s="137">
        <f t="shared" si="8"/>
        <v>2.4447511409432563</v>
      </c>
      <c r="L49" s="138">
        <f t="shared" si="9"/>
        <v>351.16405388508934</v>
      </c>
      <c r="M49" s="136">
        <f t="shared" si="10"/>
        <v>2.4447511409432563</v>
      </c>
      <c r="N49" s="137">
        <f t="shared" si="11"/>
        <v>2.4447511409432563</v>
      </c>
      <c r="O49" s="138">
        <f t="shared" si="12"/>
        <v>572.95187739146161</v>
      </c>
      <c r="P49" s="136">
        <f t="shared" si="13"/>
        <v>2.4447511409432563</v>
      </c>
      <c r="Q49" s="137">
        <f t="shared" si="14"/>
        <v>2.4447511409432563</v>
      </c>
      <c r="R49" s="138">
        <f t="shared" si="15"/>
        <v>526.16520795654583</v>
      </c>
      <c r="S49" s="136">
        <f t="shared" si="16"/>
        <v>2.4447511409432563</v>
      </c>
      <c r="T49" s="137">
        <f t="shared" si="17"/>
        <v>2.4447511409432563</v>
      </c>
      <c r="U49" s="138">
        <f t="shared" si="18"/>
        <v>720.81042639570978</v>
      </c>
      <c r="V49" s="143">
        <f t="shared" si="19"/>
        <v>300</v>
      </c>
      <c r="W49" s="144">
        <f t="shared" si="20"/>
        <v>100</v>
      </c>
      <c r="X49" s="144">
        <f t="shared" si="21"/>
        <v>50</v>
      </c>
      <c r="Y49" s="144">
        <f t="shared" si="22"/>
        <v>25</v>
      </c>
      <c r="Z49" s="142">
        <f t="shared" si="23"/>
        <v>20</v>
      </c>
    </row>
    <row r="50" spans="3:26" ht="17" thickBot="1" x14ac:dyDescent="0.25">
      <c r="C50" s="82">
        <v>13</v>
      </c>
      <c r="D50" s="107">
        <f t="shared" si="1"/>
        <v>169.96910013008056</v>
      </c>
      <c r="E50" s="133">
        <f t="shared" si="2"/>
        <v>13</v>
      </c>
      <c r="F50" s="134">
        <f t="shared" si="3"/>
        <v>19.952623149688804</v>
      </c>
      <c r="G50" s="136">
        <f t="shared" si="4"/>
        <v>2.6334353804178274</v>
      </c>
      <c r="H50" s="137">
        <f t="shared" si="5"/>
        <v>2.6334353804178274</v>
      </c>
      <c r="I50" s="138">
        <f t="shared" si="6"/>
        <v>301.47568235023289</v>
      </c>
      <c r="J50" s="136">
        <f t="shared" si="7"/>
        <v>2.6334353804178274</v>
      </c>
      <c r="K50" s="137">
        <f t="shared" si="8"/>
        <v>2.6334353804178274</v>
      </c>
      <c r="L50" s="138">
        <f t="shared" si="9"/>
        <v>378.26665804321675</v>
      </c>
      <c r="M50" s="136">
        <f t="shared" si="10"/>
        <v>2.6334353804178274</v>
      </c>
      <c r="N50" s="137">
        <f t="shared" si="11"/>
        <v>2.6334353804178274</v>
      </c>
      <c r="O50" s="138">
        <f t="shared" si="12"/>
        <v>617.17191575472202</v>
      </c>
      <c r="P50" s="136">
        <f t="shared" si="13"/>
        <v>2.6334353804178274</v>
      </c>
      <c r="Q50" s="137">
        <f t="shared" si="14"/>
        <v>2.6334353804178274</v>
      </c>
      <c r="R50" s="138">
        <f t="shared" si="15"/>
        <v>566.77428281843765</v>
      </c>
      <c r="S50" s="136">
        <f t="shared" si="16"/>
        <v>2.6334353804178274</v>
      </c>
      <c r="T50" s="137">
        <f t="shared" si="17"/>
        <v>2.6334353804178274</v>
      </c>
      <c r="U50" s="138">
        <f t="shared" si="18"/>
        <v>776.44208756239232</v>
      </c>
      <c r="V50" s="143">
        <f t="shared" si="19"/>
        <v>300</v>
      </c>
      <c r="W50" s="144">
        <f t="shared" si="20"/>
        <v>100</v>
      </c>
      <c r="X50" s="144">
        <f t="shared" si="21"/>
        <v>50</v>
      </c>
      <c r="Y50" s="144">
        <f t="shared" si="22"/>
        <v>25</v>
      </c>
      <c r="Z50" s="142">
        <f t="shared" si="23"/>
        <v>20</v>
      </c>
    </row>
    <row r="51" spans="3:26" ht="17" thickBot="1" x14ac:dyDescent="0.25">
      <c r="C51" s="82">
        <v>14</v>
      </c>
      <c r="D51" s="107">
        <f t="shared" si="1"/>
        <v>168.96910013008056</v>
      </c>
      <c r="E51" s="133">
        <f t="shared" si="2"/>
        <v>14</v>
      </c>
      <c r="F51" s="134">
        <f t="shared" si="3"/>
        <v>25.118864315095799</v>
      </c>
      <c r="G51" s="136">
        <f t="shared" si="4"/>
        <v>2.8242121576373016</v>
      </c>
      <c r="H51" s="137">
        <f t="shared" si="5"/>
        <v>2.8242121576373016</v>
      </c>
      <c r="I51" s="138">
        <f t="shared" si="6"/>
        <v>323.31580780631828</v>
      </c>
      <c r="J51" s="136">
        <f t="shared" si="7"/>
        <v>2.8242121576373016</v>
      </c>
      <c r="K51" s="137">
        <f t="shared" si="8"/>
        <v>2.8242121576373016</v>
      </c>
      <c r="L51" s="138">
        <f t="shared" si="9"/>
        <v>405.66983432302209</v>
      </c>
      <c r="M51" s="136">
        <f t="shared" si="10"/>
        <v>2.8242121576373016</v>
      </c>
      <c r="N51" s="137">
        <f t="shared" si="11"/>
        <v>2.8242121576373016</v>
      </c>
      <c r="O51" s="138">
        <f t="shared" si="12"/>
        <v>661.88236126387801</v>
      </c>
      <c r="P51" s="136">
        <f t="shared" si="13"/>
        <v>2.8242121576373016</v>
      </c>
      <c r="Q51" s="137">
        <f t="shared" si="14"/>
        <v>2.8242121576373016</v>
      </c>
      <c r="R51" s="138">
        <f t="shared" si="15"/>
        <v>607.83371867587834</v>
      </c>
      <c r="S51" s="136">
        <f t="shared" si="16"/>
        <v>2.8242121576373016</v>
      </c>
      <c r="T51" s="137">
        <f t="shared" si="17"/>
        <v>2.8242121576373016</v>
      </c>
      <c r="U51" s="138">
        <f t="shared" si="18"/>
        <v>832.69071255778204</v>
      </c>
      <c r="V51" s="143">
        <f t="shared" si="19"/>
        <v>300</v>
      </c>
      <c r="W51" s="144">
        <f t="shared" si="20"/>
        <v>100</v>
      </c>
      <c r="X51" s="144">
        <f t="shared" si="21"/>
        <v>50</v>
      </c>
      <c r="Y51" s="144">
        <f t="shared" si="22"/>
        <v>25</v>
      </c>
      <c r="Z51" s="142">
        <f t="shared" si="23"/>
        <v>20</v>
      </c>
    </row>
    <row r="52" spans="3:26" ht="17" thickBot="1" x14ac:dyDescent="0.25">
      <c r="C52" s="82">
        <v>15</v>
      </c>
      <c r="D52" s="107">
        <f t="shared" si="1"/>
        <v>167.96910013008056</v>
      </c>
      <c r="E52" s="133">
        <f t="shared" si="2"/>
        <v>15</v>
      </c>
      <c r="F52" s="134">
        <f t="shared" si="3"/>
        <v>31.622776601683803</v>
      </c>
      <c r="G52" s="136">
        <f t="shared" si="4"/>
        <v>3.0166846040103117</v>
      </c>
      <c r="H52" s="137">
        <f t="shared" si="5"/>
        <v>3.0166846040103117</v>
      </c>
      <c r="I52" s="138">
        <f t="shared" si="6"/>
        <v>345.35005346710045</v>
      </c>
      <c r="J52" s="136">
        <f t="shared" si="7"/>
        <v>3.0166846040103117</v>
      </c>
      <c r="K52" s="137">
        <f t="shared" si="8"/>
        <v>3.0166846040103117</v>
      </c>
      <c r="L52" s="138">
        <f t="shared" si="9"/>
        <v>433.31657652004117</v>
      </c>
      <c r="M52" s="136">
        <f t="shared" si="10"/>
        <v>3.0166846040103117</v>
      </c>
      <c r="N52" s="137">
        <f t="shared" si="11"/>
        <v>3.0166846040103117</v>
      </c>
      <c r="O52" s="138">
        <f t="shared" si="12"/>
        <v>706.9902037958567</v>
      </c>
      <c r="P52" s="136">
        <f t="shared" si="13"/>
        <v>3.0166846040103117</v>
      </c>
      <c r="Q52" s="137">
        <f t="shared" si="14"/>
        <v>3.0166846040103117</v>
      </c>
      <c r="R52" s="138">
        <f t="shared" si="15"/>
        <v>649.25810051814881</v>
      </c>
      <c r="S52" s="136">
        <f t="shared" si="16"/>
        <v>3.0166846040103117</v>
      </c>
      <c r="T52" s="137">
        <f t="shared" si="17"/>
        <v>3.0166846040103117</v>
      </c>
      <c r="U52" s="138">
        <f t="shared" si="18"/>
        <v>889.43928864640043</v>
      </c>
      <c r="V52" s="143">
        <f t="shared" si="19"/>
        <v>300</v>
      </c>
      <c r="W52" s="144">
        <f t="shared" si="20"/>
        <v>100</v>
      </c>
      <c r="X52" s="144">
        <f t="shared" si="21"/>
        <v>50</v>
      </c>
      <c r="Y52" s="144">
        <f t="shared" si="22"/>
        <v>25</v>
      </c>
      <c r="Z52" s="142">
        <f t="shared" si="23"/>
        <v>20</v>
      </c>
    </row>
    <row r="53" spans="3:26" ht="17" thickBot="1" x14ac:dyDescent="0.25">
      <c r="C53" s="82">
        <v>16</v>
      </c>
      <c r="D53" s="107">
        <f t="shared" si="1"/>
        <v>166.96910013008056</v>
      </c>
      <c r="E53" s="133">
        <f t="shared" si="2"/>
        <v>16</v>
      </c>
      <c r="F53" s="134">
        <f t="shared" si="3"/>
        <v>39.810717055349755</v>
      </c>
      <c r="G53" s="136">
        <f t="shared" si="4"/>
        <v>3.2105256925491621</v>
      </c>
      <c r="H53" s="137">
        <f t="shared" si="5"/>
        <v>3.2105256925491621</v>
      </c>
      <c r="I53" s="138">
        <f t="shared" si="6"/>
        <v>367.54098128302803</v>
      </c>
      <c r="J53" s="136">
        <f t="shared" si="7"/>
        <v>3.2105256925491621</v>
      </c>
      <c r="K53" s="137">
        <f t="shared" si="8"/>
        <v>3.2105256925491621</v>
      </c>
      <c r="L53" s="138">
        <f t="shared" si="9"/>
        <v>461.15991047776163</v>
      </c>
      <c r="M53" s="136">
        <f t="shared" si="10"/>
        <v>3.2105256925491621</v>
      </c>
      <c r="N53" s="137">
        <f t="shared" si="11"/>
        <v>3.2105256925491621</v>
      </c>
      <c r="O53" s="138">
        <f t="shared" si="12"/>
        <v>752.41880130582172</v>
      </c>
      <c r="P53" s="136">
        <f t="shared" si="13"/>
        <v>3.2105256925491621</v>
      </c>
      <c r="Q53" s="137">
        <f t="shared" si="14"/>
        <v>3.2105256925491621</v>
      </c>
      <c r="R53" s="138">
        <f t="shared" si="15"/>
        <v>690.97704481209257</v>
      </c>
      <c r="S53" s="136">
        <f t="shared" si="16"/>
        <v>3.2105256925491621</v>
      </c>
      <c r="T53" s="137">
        <f t="shared" si="17"/>
        <v>3.2105256925491621</v>
      </c>
      <c r="U53" s="138">
        <f t="shared" si="18"/>
        <v>946.59139519119492</v>
      </c>
      <c r="V53" s="143">
        <f t="shared" si="19"/>
        <v>300</v>
      </c>
      <c r="W53" s="144">
        <f t="shared" si="20"/>
        <v>100</v>
      </c>
      <c r="X53" s="144">
        <f t="shared" si="21"/>
        <v>50</v>
      </c>
      <c r="Y53" s="144">
        <f t="shared" si="22"/>
        <v>25</v>
      </c>
      <c r="Z53" s="142">
        <f t="shared" si="23"/>
        <v>20</v>
      </c>
    </row>
    <row r="54" spans="3:26" ht="17" thickBot="1" x14ac:dyDescent="0.25">
      <c r="C54" s="82">
        <v>17</v>
      </c>
      <c r="D54" s="107">
        <f t="shared" si="1"/>
        <v>165.96910013008056</v>
      </c>
      <c r="E54" s="133">
        <f t="shared" si="2"/>
        <v>17</v>
      </c>
      <c r="F54" s="134">
        <f t="shared" si="3"/>
        <v>50.118723362727238</v>
      </c>
      <c r="G54" s="136">
        <f t="shared" si="4"/>
        <v>3.4054679410829305</v>
      </c>
      <c r="H54" s="137">
        <f t="shared" si="5"/>
        <v>3.4054679410829305</v>
      </c>
      <c r="I54" s="138">
        <f t="shared" si="6"/>
        <v>389.85796989517382</v>
      </c>
      <c r="J54" s="136">
        <f t="shared" si="7"/>
        <v>3.4054679410829305</v>
      </c>
      <c r="K54" s="137">
        <f t="shared" si="8"/>
        <v>3.4054679410829305</v>
      </c>
      <c r="L54" s="138">
        <f t="shared" si="9"/>
        <v>489.16141505715211</v>
      </c>
      <c r="M54" s="136">
        <f t="shared" si="10"/>
        <v>3.4054679410829305</v>
      </c>
      <c r="N54" s="137">
        <f t="shared" si="11"/>
        <v>3.4054679410829305</v>
      </c>
      <c r="O54" s="138">
        <f t="shared" si="12"/>
        <v>798.10546667219558</v>
      </c>
      <c r="P54" s="136">
        <f t="shared" si="13"/>
        <v>3.4054679410829305</v>
      </c>
      <c r="Q54" s="137">
        <f t="shared" si="14"/>
        <v>3.4054679410829305</v>
      </c>
      <c r="R54" s="138">
        <f t="shared" si="15"/>
        <v>732.93298340292677</v>
      </c>
      <c r="S54" s="136">
        <f t="shared" si="16"/>
        <v>3.4054679410829305</v>
      </c>
      <c r="T54" s="137">
        <f t="shared" si="17"/>
        <v>3.4054679410829305</v>
      </c>
      <c r="U54" s="138">
        <f t="shared" si="18"/>
        <v>1004.0681677488913</v>
      </c>
      <c r="V54" s="143">
        <f t="shared" si="19"/>
        <v>300</v>
      </c>
      <c r="W54" s="144">
        <f t="shared" si="20"/>
        <v>100</v>
      </c>
      <c r="X54" s="144">
        <f t="shared" si="21"/>
        <v>50</v>
      </c>
      <c r="Y54" s="144">
        <f t="shared" si="22"/>
        <v>25</v>
      </c>
      <c r="Z54" s="142">
        <f t="shared" si="23"/>
        <v>20</v>
      </c>
    </row>
    <row r="55" spans="3:26" ht="17" thickBot="1" x14ac:dyDescent="0.25">
      <c r="C55" s="82">
        <v>18</v>
      </c>
      <c r="D55" s="107">
        <f t="shared" si="1"/>
        <v>164.96910013008056</v>
      </c>
      <c r="E55" s="133">
        <f t="shared" si="2"/>
        <v>18</v>
      </c>
      <c r="F55" s="134">
        <f t="shared" si="3"/>
        <v>63.095734448019364</v>
      </c>
      <c r="G55" s="136">
        <f t="shared" si="4"/>
        <v>3.6012938664011891</v>
      </c>
      <c r="H55" s="137">
        <f t="shared" si="5"/>
        <v>3.6012938664011891</v>
      </c>
      <c r="I55" s="138">
        <f t="shared" si="6"/>
        <v>412.27612182560813</v>
      </c>
      <c r="J55" s="136">
        <f t="shared" si="7"/>
        <v>3.6012938664011891</v>
      </c>
      <c r="K55" s="137">
        <f t="shared" si="8"/>
        <v>3.6012938664011891</v>
      </c>
      <c r="L55" s="138">
        <f t="shared" si="9"/>
        <v>517.28985096986685</v>
      </c>
      <c r="M55" s="136">
        <f t="shared" si="10"/>
        <v>3.6012938664011891</v>
      </c>
      <c r="N55" s="137">
        <f t="shared" si="11"/>
        <v>3.6012938664011891</v>
      </c>
      <c r="O55" s="138">
        <f t="shared" si="12"/>
        <v>843.99923052978284</v>
      </c>
      <c r="P55" s="136">
        <f t="shared" si="13"/>
        <v>3.6012938664011891</v>
      </c>
      <c r="Q55" s="137">
        <f t="shared" si="14"/>
        <v>3.6012938664011891</v>
      </c>
      <c r="R55" s="138">
        <f t="shared" si="15"/>
        <v>775.07910903214315</v>
      </c>
      <c r="S55" s="136">
        <f t="shared" si="16"/>
        <v>3.6012938664011891</v>
      </c>
      <c r="T55" s="137">
        <f t="shared" si="17"/>
        <v>3.6012938664011891</v>
      </c>
      <c r="U55" s="138">
        <f t="shared" si="18"/>
        <v>1061.8054835697267</v>
      </c>
      <c r="V55" s="143">
        <f t="shared" si="19"/>
        <v>300</v>
      </c>
      <c r="W55" s="144">
        <f t="shared" si="20"/>
        <v>100</v>
      </c>
      <c r="X55" s="144">
        <f t="shared" si="21"/>
        <v>50</v>
      </c>
      <c r="Y55" s="144">
        <f t="shared" si="22"/>
        <v>25</v>
      </c>
      <c r="Z55" s="142">
        <f t="shared" si="23"/>
        <v>20</v>
      </c>
    </row>
    <row r="56" spans="3:26" ht="17" thickBot="1" x14ac:dyDescent="0.25">
      <c r="C56" s="82">
        <v>19</v>
      </c>
      <c r="D56" s="107">
        <f t="shared" si="1"/>
        <v>163.96910013008056</v>
      </c>
      <c r="E56" s="133">
        <f t="shared" si="2"/>
        <v>19</v>
      </c>
      <c r="F56" s="134">
        <f t="shared" si="3"/>
        <v>79.432823472428197</v>
      </c>
      <c r="G56" s="136">
        <f t="shared" si="4"/>
        <v>3.7978274756651462</v>
      </c>
      <c r="H56" s="137">
        <f t="shared" si="5"/>
        <v>3.7978274756651462</v>
      </c>
      <c r="I56" s="138">
        <f t="shared" si="6"/>
        <v>434.77528941414596</v>
      </c>
      <c r="J56" s="136">
        <f t="shared" si="7"/>
        <v>3.7978274756651462</v>
      </c>
      <c r="K56" s="137">
        <f t="shared" si="8"/>
        <v>3.7978274756651462</v>
      </c>
      <c r="L56" s="138">
        <f t="shared" si="9"/>
        <v>545.51993860454161</v>
      </c>
      <c r="M56" s="136">
        <f t="shared" si="10"/>
        <v>3.7978274756651462</v>
      </c>
      <c r="N56" s="137">
        <f t="shared" si="11"/>
        <v>3.7978274756651462</v>
      </c>
      <c r="O56" s="138">
        <f t="shared" si="12"/>
        <v>890.05884719688368</v>
      </c>
      <c r="P56" s="136">
        <f t="shared" si="13"/>
        <v>3.7978274756651462</v>
      </c>
      <c r="Q56" s="137">
        <f t="shared" si="14"/>
        <v>3.7978274756651462</v>
      </c>
      <c r="R56" s="138">
        <f t="shared" si="15"/>
        <v>817.37754409859429</v>
      </c>
      <c r="S56" s="136">
        <f t="shared" si="16"/>
        <v>3.7978274756651462</v>
      </c>
      <c r="T56" s="137">
        <f t="shared" si="17"/>
        <v>3.7978274756651462</v>
      </c>
      <c r="U56" s="138">
        <f t="shared" si="18"/>
        <v>1119.7514529251116</v>
      </c>
      <c r="V56" s="143">
        <f t="shared" si="19"/>
        <v>300</v>
      </c>
      <c r="W56" s="144">
        <f t="shared" si="20"/>
        <v>100</v>
      </c>
      <c r="X56" s="144">
        <f t="shared" si="21"/>
        <v>50</v>
      </c>
      <c r="Y56" s="144">
        <f t="shared" si="22"/>
        <v>25</v>
      </c>
      <c r="Z56" s="142">
        <f t="shared" si="23"/>
        <v>20</v>
      </c>
    </row>
    <row r="57" spans="3:26" ht="17" thickBot="1" x14ac:dyDescent="0.25">
      <c r="C57" s="82">
        <v>20</v>
      </c>
      <c r="D57" s="107">
        <f t="shared" si="1"/>
        <v>162.96910013008056</v>
      </c>
      <c r="E57" s="133">
        <f t="shared" si="2"/>
        <v>20</v>
      </c>
      <c r="F57" s="134">
        <f t="shared" si="3"/>
        <v>100</v>
      </c>
      <c r="G57" s="136">
        <f t="shared" si="4"/>
        <v>3.9949268896510772</v>
      </c>
      <c r="H57" s="137">
        <f t="shared" si="5"/>
        <v>3.9949268896510772</v>
      </c>
      <c r="I57" s="138">
        <f t="shared" si="6"/>
        <v>457.33923032725528</v>
      </c>
      <c r="J57" s="136">
        <f t="shared" si="7"/>
        <v>3.9949268896510772</v>
      </c>
      <c r="K57" s="137">
        <f t="shared" si="8"/>
        <v>3.9949268896510772</v>
      </c>
      <c r="L57" s="138">
        <f t="shared" si="9"/>
        <v>573.83129842948074</v>
      </c>
      <c r="M57" s="136">
        <f t="shared" si="10"/>
        <v>3.9949268896510772</v>
      </c>
      <c r="N57" s="137">
        <f t="shared" si="11"/>
        <v>3.9949268896510772</v>
      </c>
      <c r="O57" s="138">
        <f t="shared" si="12"/>
        <v>936.25106585862648</v>
      </c>
      <c r="P57" s="136">
        <f t="shared" si="13"/>
        <v>3.9949268896510772</v>
      </c>
      <c r="Q57" s="137">
        <f t="shared" si="14"/>
        <v>3.9949268896510772</v>
      </c>
      <c r="R57" s="138">
        <f t="shared" si="15"/>
        <v>859.79775301523989</v>
      </c>
      <c r="S57" s="136">
        <f t="shared" si="16"/>
        <v>3.9949268896510772</v>
      </c>
      <c r="T57" s="137">
        <f t="shared" si="17"/>
        <v>3.9949268896510772</v>
      </c>
      <c r="U57" s="138">
        <f t="shared" si="18"/>
        <v>1177.8642441447237</v>
      </c>
      <c r="V57" s="143">
        <f t="shared" si="19"/>
        <v>300</v>
      </c>
      <c r="W57" s="144">
        <f t="shared" si="20"/>
        <v>100</v>
      </c>
      <c r="X57" s="144">
        <f t="shared" si="21"/>
        <v>50</v>
      </c>
      <c r="Y57" s="144">
        <f t="shared" si="22"/>
        <v>25</v>
      </c>
      <c r="Z57" s="142">
        <f t="shared" si="23"/>
        <v>20</v>
      </c>
    </row>
    <row r="58" spans="3:26" ht="17" thickBot="1" x14ac:dyDescent="0.25">
      <c r="C58" s="82">
        <v>21</v>
      </c>
      <c r="D58" s="107">
        <f t="shared" si="1"/>
        <v>161.96910013008056</v>
      </c>
      <c r="E58" s="133">
        <f t="shared" si="2"/>
        <v>21</v>
      </c>
      <c r="F58" s="134">
        <f t="shared" si="3"/>
        <v>125.89254117941677</v>
      </c>
      <c r="G58" s="136">
        <f t="shared" si="4"/>
        <v>4.192478075373554</v>
      </c>
      <c r="H58" s="137">
        <f t="shared" si="5"/>
        <v>4.192478075373554</v>
      </c>
      <c r="I58" s="138">
        <f t="shared" si="6"/>
        <v>479.95489006876443</v>
      </c>
      <c r="J58" s="136">
        <f t="shared" si="7"/>
        <v>4.192478075373554</v>
      </c>
      <c r="K58" s="137">
        <f t="shared" si="8"/>
        <v>4.192478075373554</v>
      </c>
      <c r="L58" s="138">
        <f t="shared" si="9"/>
        <v>602.20755074665738</v>
      </c>
      <c r="M58" s="136">
        <f t="shared" si="10"/>
        <v>4.192478075373554</v>
      </c>
      <c r="N58" s="137">
        <f t="shared" si="11"/>
        <v>4.192478075373554</v>
      </c>
      <c r="O58" s="138">
        <f t="shared" si="12"/>
        <v>982.54916174454615</v>
      </c>
      <c r="P58" s="136">
        <f t="shared" si="13"/>
        <v>4.192478075373554</v>
      </c>
      <c r="Q58" s="137">
        <f t="shared" si="14"/>
        <v>4.192478075373554</v>
      </c>
      <c r="R58" s="138">
        <f t="shared" si="15"/>
        <v>902.31519332927701</v>
      </c>
      <c r="S58" s="136">
        <f t="shared" si="16"/>
        <v>4.192478075373554</v>
      </c>
      <c r="T58" s="137">
        <f t="shared" si="17"/>
        <v>4.192478075373554</v>
      </c>
      <c r="U58" s="138">
        <f t="shared" si="18"/>
        <v>1236.1102357431387</v>
      </c>
      <c r="V58" s="143">
        <f t="shared" si="19"/>
        <v>300</v>
      </c>
      <c r="W58" s="144">
        <f t="shared" si="20"/>
        <v>100</v>
      </c>
      <c r="X58" s="144">
        <f t="shared" si="21"/>
        <v>50</v>
      </c>
      <c r="Y58" s="144">
        <f t="shared" si="22"/>
        <v>25</v>
      </c>
      <c r="Z58" s="142">
        <f t="shared" si="23"/>
        <v>20</v>
      </c>
    </row>
    <row r="59" spans="3:26" ht="17" thickBot="1" x14ac:dyDescent="0.25">
      <c r="C59" s="82">
        <v>22</v>
      </c>
      <c r="D59" s="107">
        <f t="shared" ref="D59:D77" si="24">DL_EIRP-(C59+DL_NormNoise)+DL_Rxgain</f>
        <v>160.96910013008056</v>
      </c>
      <c r="E59" s="133">
        <f t="shared" ref="E59:E77" si="25">IF(DL_Plot=$C$26,C59,IF($C$7=$D$26,D59,0))</f>
        <v>22</v>
      </c>
      <c r="F59" s="134">
        <f t="shared" ref="F59:F77" si="26">10^(C59/10)</f>
        <v>158.48931924611153</v>
      </c>
      <c r="G59" s="136">
        <f t="shared" ref="G59:G77" si="27">DL_alpha*LOG(1 +($F59*$O$20),2)</f>
        <v>4.390389601161929</v>
      </c>
      <c r="H59" s="137">
        <f t="shared" ref="H59:H77" si="28">IF(G59&lt;=$N$20,G59,$N$20)</f>
        <v>4.390389601161929</v>
      </c>
      <c r="I59" s="138">
        <f t="shared" ref="I59:I77" si="29">$H59*$G$20*$M$20*$C$20*DL_ratio</f>
        <v>502.6118015410176</v>
      </c>
      <c r="J59" s="136">
        <f t="shared" ref="J59:J77" si="30">DL_alpha*LOG(1 +($F59*$O$21),2)</f>
        <v>4.390389601161929</v>
      </c>
      <c r="K59" s="137">
        <f t="shared" ref="K59:K77" si="31">IF(J59&lt;=$N$20,J59,$N$20)</f>
        <v>4.390389601161929</v>
      </c>
      <c r="L59" s="138">
        <f t="shared" ref="L59:L77" si="32">$K59*$G$21*$M$21*$C$21*DL_ratio</f>
        <v>630.63556231089945</v>
      </c>
      <c r="M59" s="136">
        <f t="shared" ref="M59:M77" si="33">DL_alpha*LOG(1 +($F59*$O$22),2)</f>
        <v>4.390389601161929</v>
      </c>
      <c r="N59" s="137">
        <f t="shared" ref="N59:N77" si="34">IF(M59&lt;=$N$20,M59,$N$20)</f>
        <v>4.390389601161929</v>
      </c>
      <c r="O59" s="138">
        <f t="shared" ref="O59:O77" si="35">$N59*$G$22*$M$22*$C$22*DL_ratio</f>
        <v>1028.9317069283097</v>
      </c>
      <c r="P59" s="136">
        <f t="shared" ref="P59:P77" si="36">DL_alpha*LOG(1 +($F59*$O$23),2)</f>
        <v>4.390389601161929</v>
      </c>
      <c r="Q59" s="137">
        <f t="shared" ref="Q59:Q77" si="37">IF(P59&lt;=$N$20,P59,$N$20)</f>
        <v>4.390389601161929</v>
      </c>
      <c r="R59" s="138">
        <f t="shared" ref="R59:R77" si="38">$Q59*$G$23*$M$23*$C$23*DL_ratio</f>
        <v>944.91018689711291</v>
      </c>
      <c r="S59" s="136">
        <f t="shared" ref="S59:S77" si="39">DL_alpha*LOG(1 +($F59*$O$24),2)</f>
        <v>4.390389601161929</v>
      </c>
      <c r="T59" s="137">
        <f t="shared" ref="T59:T77" si="40">IF(S59&lt;=$N$20,S59,$N$20)</f>
        <v>4.390389601161929</v>
      </c>
      <c r="U59" s="138">
        <f t="shared" ref="U59:U77" si="41">$T59*$G$24*$M$24*$C$24*DL_ratio</f>
        <v>1294.4624700065831</v>
      </c>
      <c r="V59" s="143">
        <f t="shared" ref="V59:V77" si="42">IF($D$11="yes",$C$11,"")</f>
        <v>300</v>
      </c>
      <c r="W59" s="144">
        <f t="shared" ref="W59:W77" si="43">IF($D$12="yes",$C$12,"")</f>
        <v>100</v>
      </c>
      <c r="X59" s="144">
        <f t="shared" ref="X59:X77" si="44">IF($D$13="yes",$C$13,"")</f>
        <v>50</v>
      </c>
      <c r="Y59" s="144">
        <f t="shared" ref="Y59:Y77" si="45">IF($D$14="yes",$C$14,"")</f>
        <v>25</v>
      </c>
      <c r="Z59" s="142">
        <f t="shared" ref="Z59:Z77" si="46">IF($D$15="yes",$C$15,"")</f>
        <v>20</v>
      </c>
    </row>
    <row r="60" spans="3:26" ht="17" thickBot="1" x14ac:dyDescent="0.25">
      <c r="C60" s="82">
        <v>23</v>
      </c>
      <c r="D60" s="107">
        <f t="shared" si="24"/>
        <v>159.96910013008056</v>
      </c>
      <c r="E60" s="133">
        <f t="shared" si="25"/>
        <v>23</v>
      </c>
      <c r="F60" s="134">
        <f t="shared" si="26"/>
        <v>199.52623149688802</v>
      </c>
      <c r="G60" s="136">
        <f t="shared" si="27"/>
        <v>4.5885882974942449</v>
      </c>
      <c r="H60" s="137">
        <f t="shared" si="28"/>
        <v>4.5885882974942449</v>
      </c>
      <c r="I60" s="138">
        <f t="shared" si="29"/>
        <v>525.30158829714105</v>
      </c>
      <c r="J60" s="136">
        <f t="shared" si="30"/>
        <v>4.5885882974942449</v>
      </c>
      <c r="K60" s="137">
        <f t="shared" si="31"/>
        <v>4.5885882974942449</v>
      </c>
      <c r="L60" s="138">
        <f t="shared" si="32"/>
        <v>659.10482305207336</v>
      </c>
      <c r="M60" s="136">
        <f t="shared" si="33"/>
        <v>4.5885882974942449</v>
      </c>
      <c r="N60" s="137">
        <f t="shared" si="34"/>
        <v>4.5885882974942449</v>
      </c>
      <c r="O60" s="138">
        <f t="shared" si="35"/>
        <v>1075.3815534007513</v>
      </c>
      <c r="P60" s="136">
        <f t="shared" si="36"/>
        <v>4.5885882974942449</v>
      </c>
      <c r="Q60" s="137">
        <f t="shared" si="37"/>
        <v>4.5885882974942449</v>
      </c>
      <c r="R60" s="138">
        <f t="shared" si="38"/>
        <v>987.56698599862511</v>
      </c>
      <c r="S60" s="136">
        <f t="shared" si="39"/>
        <v>4.5885882974942449</v>
      </c>
      <c r="T60" s="137">
        <f t="shared" si="40"/>
        <v>4.5885882974942449</v>
      </c>
      <c r="U60" s="138">
        <f t="shared" si="41"/>
        <v>1352.8993736332031</v>
      </c>
      <c r="V60" s="143">
        <f t="shared" si="42"/>
        <v>300</v>
      </c>
      <c r="W60" s="144">
        <f t="shared" si="43"/>
        <v>100</v>
      </c>
      <c r="X60" s="144">
        <f t="shared" si="44"/>
        <v>50</v>
      </c>
      <c r="Y60" s="144">
        <f t="shared" si="45"/>
        <v>25</v>
      </c>
      <c r="Z60" s="142">
        <f t="shared" si="46"/>
        <v>20</v>
      </c>
    </row>
    <row r="61" spans="3:26" ht="17" thickBot="1" x14ac:dyDescent="0.25">
      <c r="C61" s="82">
        <v>24</v>
      </c>
      <c r="D61" s="107">
        <f t="shared" si="24"/>
        <v>158.96910013008056</v>
      </c>
      <c r="E61" s="133">
        <f t="shared" si="25"/>
        <v>24</v>
      </c>
      <c r="F61" s="134">
        <f t="shared" si="26"/>
        <v>251.18864315095806</v>
      </c>
      <c r="G61" s="136">
        <f t="shared" si="27"/>
        <v>4.7870156986807482</v>
      </c>
      <c r="H61" s="137">
        <f t="shared" si="28"/>
        <v>4.7870156986807482</v>
      </c>
      <c r="I61" s="138">
        <f t="shared" si="29"/>
        <v>548.01755718497202</v>
      </c>
      <c r="J61" s="136">
        <f t="shared" si="30"/>
        <v>4.7870156986807482</v>
      </c>
      <c r="K61" s="137">
        <f t="shared" si="31"/>
        <v>4.7870156986807482</v>
      </c>
      <c r="L61" s="138">
        <f t="shared" si="32"/>
        <v>687.60693495850273</v>
      </c>
      <c r="M61" s="136">
        <f t="shared" si="33"/>
        <v>4.7870156986807482</v>
      </c>
      <c r="N61" s="137">
        <f t="shared" si="34"/>
        <v>4.7870156986807482</v>
      </c>
      <c r="O61" s="138">
        <f t="shared" si="35"/>
        <v>1121.8849991428201</v>
      </c>
      <c r="P61" s="136">
        <f t="shared" si="36"/>
        <v>4.7870156986807482</v>
      </c>
      <c r="Q61" s="137">
        <f t="shared" si="37"/>
        <v>4.7870156986807482</v>
      </c>
      <c r="R61" s="138">
        <f t="shared" si="38"/>
        <v>1030.2730075077473</v>
      </c>
      <c r="S61" s="136">
        <f t="shared" si="39"/>
        <v>4.7870156986807482</v>
      </c>
      <c r="T61" s="137">
        <f t="shared" si="40"/>
        <v>4.7870156986807482</v>
      </c>
      <c r="U61" s="138">
        <f t="shared" si="41"/>
        <v>1411.4037085990317</v>
      </c>
      <c r="V61" s="143">
        <f t="shared" si="42"/>
        <v>300</v>
      </c>
      <c r="W61" s="144">
        <f t="shared" si="43"/>
        <v>100</v>
      </c>
      <c r="X61" s="144">
        <f t="shared" si="44"/>
        <v>50</v>
      </c>
      <c r="Y61" s="144">
        <f t="shared" si="45"/>
        <v>25</v>
      </c>
      <c r="Z61" s="142">
        <f t="shared" si="46"/>
        <v>20</v>
      </c>
    </row>
    <row r="62" spans="3:26" ht="17" thickBot="1" x14ac:dyDescent="0.25">
      <c r="C62" s="82">
        <v>25</v>
      </c>
      <c r="D62" s="107">
        <f t="shared" si="24"/>
        <v>157.96910013008056</v>
      </c>
      <c r="E62" s="133">
        <f t="shared" si="25"/>
        <v>25</v>
      </c>
      <c r="F62" s="134">
        <f t="shared" si="26"/>
        <v>316.22776601683825</v>
      </c>
      <c r="G62" s="136">
        <f t="shared" si="27"/>
        <v>4.9856251447276829</v>
      </c>
      <c r="H62" s="137">
        <f t="shared" si="28"/>
        <v>4.9856251447276829</v>
      </c>
      <c r="I62" s="138">
        <f t="shared" si="29"/>
        <v>570.7543665684251</v>
      </c>
      <c r="J62" s="136">
        <f t="shared" si="30"/>
        <v>4.9856251447276829</v>
      </c>
      <c r="K62" s="137">
        <f t="shared" si="31"/>
        <v>4.9856251447276829</v>
      </c>
      <c r="L62" s="138">
        <f t="shared" si="32"/>
        <v>716.13519578868443</v>
      </c>
      <c r="M62" s="136">
        <f t="shared" si="33"/>
        <v>4.9856251447276829</v>
      </c>
      <c r="N62" s="137">
        <f t="shared" si="34"/>
        <v>4.9856251447276829</v>
      </c>
      <c r="O62" s="138">
        <f t="shared" si="35"/>
        <v>1168.4311089183798</v>
      </c>
      <c r="P62" s="136">
        <f t="shared" si="36"/>
        <v>4.9856251447276829</v>
      </c>
      <c r="Q62" s="137">
        <f t="shared" si="37"/>
        <v>4.9856251447276829</v>
      </c>
      <c r="R62" s="138">
        <f t="shared" si="38"/>
        <v>1073.018209148639</v>
      </c>
      <c r="S62" s="136">
        <f t="shared" si="39"/>
        <v>4.9856251447276829</v>
      </c>
      <c r="T62" s="137">
        <f t="shared" si="40"/>
        <v>4.9856251447276829</v>
      </c>
      <c r="U62" s="138">
        <f t="shared" si="41"/>
        <v>1469.9617176715101</v>
      </c>
      <c r="V62" s="143">
        <f t="shared" si="42"/>
        <v>300</v>
      </c>
      <c r="W62" s="144">
        <f t="shared" si="43"/>
        <v>100</v>
      </c>
      <c r="X62" s="144">
        <f t="shared" si="44"/>
        <v>50</v>
      </c>
      <c r="Y62" s="144">
        <f t="shared" si="45"/>
        <v>25</v>
      </c>
      <c r="Z62" s="142">
        <f t="shared" si="46"/>
        <v>20</v>
      </c>
    </row>
    <row r="63" spans="3:26" ht="17" thickBot="1" x14ac:dyDescent="0.25">
      <c r="C63" s="82">
        <v>26</v>
      </c>
      <c r="D63" s="107">
        <f t="shared" si="24"/>
        <v>156.96910013008056</v>
      </c>
      <c r="E63" s="133">
        <f t="shared" si="25"/>
        <v>26</v>
      </c>
      <c r="F63" s="134">
        <f t="shared" si="26"/>
        <v>398.10717055349761</v>
      </c>
      <c r="G63" s="136">
        <f t="shared" si="27"/>
        <v>5.1843794334104363</v>
      </c>
      <c r="H63" s="137">
        <f t="shared" si="28"/>
        <v>5.1843794334104363</v>
      </c>
      <c r="I63" s="138">
        <f t="shared" si="29"/>
        <v>593.5077575368266</v>
      </c>
      <c r="J63" s="136">
        <f t="shared" si="30"/>
        <v>5.1843794334104363</v>
      </c>
      <c r="K63" s="137">
        <f t="shared" si="31"/>
        <v>5.1843794334104363</v>
      </c>
      <c r="L63" s="138">
        <f t="shared" si="32"/>
        <v>744.68426181507505</v>
      </c>
      <c r="M63" s="136">
        <f t="shared" si="33"/>
        <v>5.1843794334104363</v>
      </c>
      <c r="N63" s="137">
        <f t="shared" si="34"/>
        <v>5.1843794334104363</v>
      </c>
      <c r="O63" s="138">
        <f t="shared" si="35"/>
        <v>1215.0111640140699</v>
      </c>
      <c r="P63" s="136">
        <f t="shared" si="36"/>
        <v>5.1843794334104363</v>
      </c>
      <c r="Q63" s="137">
        <f t="shared" si="37"/>
        <v>5.1843794334104363</v>
      </c>
      <c r="R63" s="138">
        <f t="shared" si="38"/>
        <v>1115.794584169234</v>
      </c>
      <c r="S63" s="136">
        <f t="shared" si="39"/>
        <v>5.1843794334104363</v>
      </c>
      <c r="T63" s="137">
        <f t="shared" si="40"/>
        <v>5.1843794334104363</v>
      </c>
      <c r="U63" s="138">
        <f t="shared" si="41"/>
        <v>1528.562432146733</v>
      </c>
      <c r="V63" s="143">
        <f t="shared" si="42"/>
        <v>300</v>
      </c>
      <c r="W63" s="144">
        <f t="shared" si="43"/>
        <v>100</v>
      </c>
      <c r="X63" s="144">
        <f t="shared" si="44"/>
        <v>50</v>
      </c>
      <c r="Y63" s="144">
        <f t="shared" si="45"/>
        <v>25</v>
      </c>
      <c r="Z63" s="142">
        <f t="shared" si="46"/>
        <v>20</v>
      </c>
    </row>
    <row r="64" spans="3:26" ht="17" thickBot="1" x14ac:dyDescent="0.25">
      <c r="C64" s="82">
        <v>27</v>
      </c>
      <c r="D64" s="107">
        <f t="shared" si="24"/>
        <v>155.96910013008056</v>
      </c>
      <c r="E64" s="133">
        <f t="shared" si="25"/>
        <v>27</v>
      </c>
      <c r="F64" s="134">
        <f t="shared" si="26"/>
        <v>501.18723362727269</v>
      </c>
      <c r="G64" s="136">
        <f t="shared" si="27"/>
        <v>5.3832489259925742</v>
      </c>
      <c r="H64" s="137">
        <f t="shared" si="28"/>
        <v>5.3832489259925742</v>
      </c>
      <c r="I64" s="138">
        <f t="shared" si="29"/>
        <v>616.27433704762984</v>
      </c>
      <c r="J64" s="136">
        <f t="shared" si="30"/>
        <v>5.3832489259925742</v>
      </c>
      <c r="K64" s="137">
        <f t="shared" si="31"/>
        <v>5.3832489259925742</v>
      </c>
      <c r="L64" s="138">
        <f t="shared" si="32"/>
        <v>773.24987572957343</v>
      </c>
      <c r="M64" s="136">
        <f t="shared" si="33"/>
        <v>5.3832489259925742</v>
      </c>
      <c r="N64" s="137">
        <f t="shared" si="34"/>
        <v>5.3832489259925742</v>
      </c>
      <c r="O64" s="138">
        <f t="shared" si="35"/>
        <v>1261.6182182956197</v>
      </c>
      <c r="P64" s="136">
        <f t="shared" si="36"/>
        <v>5.3832489259925742</v>
      </c>
      <c r="Q64" s="137">
        <f t="shared" si="37"/>
        <v>5.3832489259925742</v>
      </c>
      <c r="R64" s="138">
        <f t="shared" si="38"/>
        <v>1158.5957536495441</v>
      </c>
      <c r="S64" s="136">
        <f t="shared" si="39"/>
        <v>5.3832489259925742</v>
      </c>
      <c r="T64" s="137">
        <f t="shared" si="40"/>
        <v>5.3832489259925742</v>
      </c>
      <c r="U64" s="138">
        <f t="shared" si="41"/>
        <v>1587.1971133396505</v>
      </c>
      <c r="V64" s="143">
        <f t="shared" si="42"/>
        <v>300</v>
      </c>
      <c r="W64" s="144">
        <f t="shared" si="43"/>
        <v>100</v>
      </c>
      <c r="X64" s="144">
        <f t="shared" si="44"/>
        <v>50</v>
      </c>
      <c r="Y64" s="144">
        <f t="shared" si="45"/>
        <v>25</v>
      </c>
      <c r="Z64" s="142">
        <f t="shared" si="46"/>
        <v>20</v>
      </c>
    </row>
    <row r="65" spans="3:26" ht="17" thickBot="1" x14ac:dyDescent="0.25">
      <c r="C65" s="82">
        <v>28</v>
      </c>
      <c r="D65" s="107">
        <f t="shared" si="24"/>
        <v>154.96910013008056</v>
      </c>
      <c r="E65" s="133">
        <f t="shared" si="25"/>
        <v>28</v>
      </c>
      <c r="F65" s="134">
        <f t="shared" si="26"/>
        <v>630.95734448019323</v>
      </c>
      <c r="G65" s="136">
        <f t="shared" si="27"/>
        <v>5.5822100239217312</v>
      </c>
      <c r="H65" s="137">
        <f t="shared" si="28"/>
        <v>5.5201250000000011</v>
      </c>
      <c r="I65" s="138">
        <f t="shared" si="29"/>
        <v>631.94391000000007</v>
      </c>
      <c r="J65" s="136">
        <f t="shared" si="30"/>
        <v>5.5822100239217312</v>
      </c>
      <c r="K65" s="137">
        <f t="shared" si="31"/>
        <v>5.5201250000000011</v>
      </c>
      <c r="L65" s="138">
        <f t="shared" si="32"/>
        <v>792.91075500000011</v>
      </c>
      <c r="M65" s="136">
        <f t="shared" si="33"/>
        <v>5.5822100239217312</v>
      </c>
      <c r="N65" s="137">
        <f t="shared" si="34"/>
        <v>5.5201250000000011</v>
      </c>
      <c r="O65" s="138">
        <f t="shared" si="35"/>
        <v>1293.6964950000004</v>
      </c>
      <c r="P65" s="136">
        <f t="shared" si="36"/>
        <v>5.5822100239217312</v>
      </c>
      <c r="Q65" s="137">
        <f t="shared" si="37"/>
        <v>5.5201250000000011</v>
      </c>
      <c r="R65" s="138">
        <f t="shared" si="38"/>
        <v>1188.0545508</v>
      </c>
      <c r="S65" s="136">
        <f t="shared" si="39"/>
        <v>5.5822100239217312</v>
      </c>
      <c r="T65" s="137">
        <f t="shared" si="40"/>
        <v>5.5201250000000011</v>
      </c>
      <c r="U65" s="138">
        <f t="shared" si="41"/>
        <v>1627.5536550000002</v>
      </c>
      <c r="V65" s="143">
        <f t="shared" si="42"/>
        <v>300</v>
      </c>
      <c r="W65" s="144">
        <f t="shared" si="43"/>
        <v>100</v>
      </c>
      <c r="X65" s="144">
        <f t="shared" si="44"/>
        <v>50</v>
      </c>
      <c r="Y65" s="144">
        <f t="shared" si="45"/>
        <v>25</v>
      </c>
      <c r="Z65" s="142">
        <f t="shared" si="46"/>
        <v>20</v>
      </c>
    </row>
    <row r="66" spans="3:26" ht="17" thickBot="1" x14ac:dyDescent="0.25">
      <c r="C66" s="82">
        <v>29</v>
      </c>
      <c r="D66" s="107">
        <f t="shared" si="24"/>
        <v>153.96910013008056</v>
      </c>
      <c r="E66" s="133">
        <f t="shared" si="25"/>
        <v>29</v>
      </c>
      <c r="F66" s="134">
        <f t="shared" si="26"/>
        <v>794.32823472428208</v>
      </c>
      <c r="G66" s="136">
        <f t="shared" si="27"/>
        <v>5.7812439469929808</v>
      </c>
      <c r="H66" s="137">
        <f t="shared" si="28"/>
        <v>5.5201250000000011</v>
      </c>
      <c r="I66" s="138">
        <f t="shared" si="29"/>
        <v>631.94391000000007</v>
      </c>
      <c r="J66" s="136">
        <f t="shared" si="30"/>
        <v>5.7812439469929808</v>
      </c>
      <c r="K66" s="137">
        <f t="shared" si="31"/>
        <v>5.5201250000000011</v>
      </c>
      <c r="L66" s="138">
        <f t="shared" si="32"/>
        <v>792.91075500000011</v>
      </c>
      <c r="M66" s="136">
        <f t="shared" si="33"/>
        <v>5.7812439469929808</v>
      </c>
      <c r="N66" s="137">
        <f t="shared" si="34"/>
        <v>5.5201250000000011</v>
      </c>
      <c r="O66" s="138">
        <f t="shared" si="35"/>
        <v>1293.6964950000004</v>
      </c>
      <c r="P66" s="136">
        <f t="shared" si="36"/>
        <v>5.7812439469929808</v>
      </c>
      <c r="Q66" s="137">
        <f t="shared" si="37"/>
        <v>5.5201250000000011</v>
      </c>
      <c r="R66" s="138">
        <f t="shared" si="38"/>
        <v>1188.0545508</v>
      </c>
      <c r="S66" s="136">
        <f t="shared" si="39"/>
        <v>5.7812439469929808</v>
      </c>
      <c r="T66" s="137">
        <f t="shared" si="40"/>
        <v>5.5201250000000011</v>
      </c>
      <c r="U66" s="138">
        <f t="shared" si="41"/>
        <v>1627.5536550000002</v>
      </c>
      <c r="V66" s="143">
        <f t="shared" si="42"/>
        <v>300</v>
      </c>
      <c r="W66" s="144">
        <f t="shared" si="43"/>
        <v>100</v>
      </c>
      <c r="X66" s="144">
        <f t="shared" si="44"/>
        <v>50</v>
      </c>
      <c r="Y66" s="144">
        <f t="shared" si="45"/>
        <v>25</v>
      </c>
      <c r="Z66" s="142">
        <f t="shared" si="46"/>
        <v>20</v>
      </c>
    </row>
    <row r="67" spans="3:26" ht="17" thickBot="1" x14ac:dyDescent="0.25">
      <c r="C67" s="82">
        <v>30</v>
      </c>
      <c r="D67" s="107">
        <f t="shared" si="24"/>
        <v>152.96910013008056</v>
      </c>
      <c r="E67" s="133">
        <f t="shared" si="25"/>
        <v>30</v>
      </c>
      <c r="F67" s="134">
        <f t="shared" si="26"/>
        <v>1000</v>
      </c>
      <c r="G67" s="136">
        <f t="shared" si="27"/>
        <v>5.9803357553015957</v>
      </c>
      <c r="H67" s="137">
        <f t="shared" si="28"/>
        <v>5.5201250000000011</v>
      </c>
      <c r="I67" s="138">
        <f t="shared" si="29"/>
        <v>631.94391000000007</v>
      </c>
      <c r="J67" s="136">
        <f t="shared" si="30"/>
        <v>5.9803357553015957</v>
      </c>
      <c r="K67" s="137">
        <f t="shared" si="31"/>
        <v>5.5201250000000011</v>
      </c>
      <c r="L67" s="138">
        <f t="shared" si="32"/>
        <v>792.91075500000011</v>
      </c>
      <c r="M67" s="136">
        <f t="shared" si="33"/>
        <v>5.9803357553015957</v>
      </c>
      <c r="N67" s="137">
        <f t="shared" si="34"/>
        <v>5.5201250000000011</v>
      </c>
      <c r="O67" s="138">
        <f t="shared" si="35"/>
        <v>1293.6964950000004</v>
      </c>
      <c r="P67" s="136">
        <f t="shared" si="36"/>
        <v>5.9803357553015957</v>
      </c>
      <c r="Q67" s="137">
        <f t="shared" si="37"/>
        <v>5.5201250000000011</v>
      </c>
      <c r="R67" s="138">
        <f t="shared" si="38"/>
        <v>1188.0545508</v>
      </c>
      <c r="S67" s="136">
        <f t="shared" si="39"/>
        <v>5.9803357553015957</v>
      </c>
      <c r="T67" s="137">
        <f t="shared" si="40"/>
        <v>5.5201250000000011</v>
      </c>
      <c r="U67" s="138">
        <f t="shared" si="41"/>
        <v>1627.5536550000002</v>
      </c>
      <c r="V67" s="143">
        <f t="shared" si="42"/>
        <v>300</v>
      </c>
      <c r="W67" s="144">
        <f t="shared" si="43"/>
        <v>100</v>
      </c>
      <c r="X67" s="144">
        <f t="shared" si="44"/>
        <v>50</v>
      </c>
      <c r="Y67" s="144">
        <f t="shared" si="45"/>
        <v>25</v>
      </c>
      <c r="Z67" s="142">
        <f t="shared" si="46"/>
        <v>20</v>
      </c>
    </row>
    <row r="68" spans="3:26" ht="17" thickBot="1" x14ac:dyDescent="0.25">
      <c r="C68" s="82">
        <v>31</v>
      </c>
      <c r="D68" s="107">
        <f t="shared" si="24"/>
        <v>151.96910013008056</v>
      </c>
      <c r="E68" s="133">
        <f t="shared" si="25"/>
        <v>31</v>
      </c>
      <c r="F68" s="134">
        <f t="shared" si="26"/>
        <v>1258.925411794168</v>
      </c>
      <c r="G68" s="136">
        <f t="shared" si="27"/>
        <v>6.1794735675943553</v>
      </c>
      <c r="H68" s="137">
        <f t="shared" si="28"/>
        <v>5.5201250000000011</v>
      </c>
      <c r="I68" s="138">
        <f t="shared" si="29"/>
        <v>631.94391000000007</v>
      </c>
      <c r="J68" s="136">
        <f t="shared" si="30"/>
        <v>6.1794735675943553</v>
      </c>
      <c r="K68" s="137">
        <f t="shared" si="31"/>
        <v>5.5201250000000011</v>
      </c>
      <c r="L68" s="138">
        <f t="shared" si="32"/>
        <v>792.91075500000011</v>
      </c>
      <c r="M68" s="136">
        <f t="shared" si="33"/>
        <v>6.1794735675943553</v>
      </c>
      <c r="N68" s="137">
        <f t="shared" si="34"/>
        <v>5.5201250000000011</v>
      </c>
      <c r="O68" s="138">
        <f t="shared" si="35"/>
        <v>1293.6964950000004</v>
      </c>
      <c r="P68" s="136">
        <f t="shared" si="36"/>
        <v>6.1794735675943553</v>
      </c>
      <c r="Q68" s="137">
        <f t="shared" si="37"/>
        <v>5.5201250000000011</v>
      </c>
      <c r="R68" s="138">
        <f t="shared" si="38"/>
        <v>1188.0545508</v>
      </c>
      <c r="S68" s="136">
        <f t="shared" si="39"/>
        <v>6.1794735675943553</v>
      </c>
      <c r="T68" s="137">
        <f t="shared" si="40"/>
        <v>5.5201250000000011</v>
      </c>
      <c r="U68" s="138">
        <f t="shared" si="41"/>
        <v>1627.5536550000002</v>
      </c>
      <c r="V68" s="143">
        <f t="shared" si="42"/>
        <v>300</v>
      </c>
      <c r="W68" s="144">
        <f t="shared" si="43"/>
        <v>100</v>
      </c>
      <c r="X68" s="144">
        <f t="shared" si="44"/>
        <v>50</v>
      </c>
      <c r="Y68" s="144">
        <f t="shared" si="45"/>
        <v>25</v>
      </c>
      <c r="Z68" s="142">
        <f t="shared" si="46"/>
        <v>20</v>
      </c>
    </row>
    <row r="69" spans="3:26" ht="17" thickBot="1" x14ac:dyDescent="0.25">
      <c r="C69" s="82">
        <v>32</v>
      </c>
      <c r="D69" s="107">
        <f t="shared" si="24"/>
        <v>150.96910013008056</v>
      </c>
      <c r="E69" s="133">
        <f t="shared" si="25"/>
        <v>32</v>
      </c>
      <c r="F69" s="134">
        <f t="shared" si="26"/>
        <v>1584.8931924611156</v>
      </c>
      <c r="G69" s="136">
        <f t="shared" si="27"/>
        <v>6.3786479373711442</v>
      </c>
      <c r="H69" s="137">
        <f t="shared" si="28"/>
        <v>5.5201250000000011</v>
      </c>
      <c r="I69" s="138">
        <f t="shared" si="29"/>
        <v>631.94391000000007</v>
      </c>
      <c r="J69" s="136">
        <f t="shared" si="30"/>
        <v>6.3786479373711442</v>
      </c>
      <c r="K69" s="137">
        <f t="shared" si="31"/>
        <v>5.5201250000000011</v>
      </c>
      <c r="L69" s="138">
        <f t="shared" si="32"/>
        <v>792.91075500000011</v>
      </c>
      <c r="M69" s="136">
        <f t="shared" si="33"/>
        <v>6.3786479373711442</v>
      </c>
      <c r="N69" s="137">
        <f t="shared" si="34"/>
        <v>5.5201250000000011</v>
      </c>
      <c r="O69" s="138">
        <f t="shared" si="35"/>
        <v>1293.6964950000004</v>
      </c>
      <c r="P69" s="136">
        <f t="shared" si="36"/>
        <v>6.3786479373711442</v>
      </c>
      <c r="Q69" s="137">
        <f t="shared" si="37"/>
        <v>5.5201250000000011</v>
      </c>
      <c r="R69" s="138">
        <f t="shared" si="38"/>
        <v>1188.0545508</v>
      </c>
      <c r="S69" s="136">
        <f t="shared" si="39"/>
        <v>6.3786479373711442</v>
      </c>
      <c r="T69" s="137">
        <f t="shared" si="40"/>
        <v>5.5201250000000011</v>
      </c>
      <c r="U69" s="138">
        <f t="shared" si="41"/>
        <v>1627.5536550000002</v>
      </c>
      <c r="V69" s="143">
        <f t="shared" si="42"/>
        <v>300</v>
      </c>
      <c r="W69" s="144">
        <f t="shared" si="43"/>
        <v>100</v>
      </c>
      <c r="X69" s="144">
        <f t="shared" si="44"/>
        <v>50</v>
      </c>
      <c r="Y69" s="144">
        <f t="shared" si="45"/>
        <v>25</v>
      </c>
      <c r="Z69" s="142">
        <f t="shared" si="46"/>
        <v>20</v>
      </c>
    </row>
    <row r="70" spans="3:26" ht="17" thickBot="1" x14ac:dyDescent="0.25">
      <c r="C70" s="82">
        <v>33</v>
      </c>
      <c r="D70" s="107">
        <f t="shared" si="24"/>
        <v>149.96910013008056</v>
      </c>
      <c r="E70" s="133">
        <f t="shared" si="25"/>
        <v>33</v>
      </c>
      <c r="F70" s="134">
        <f t="shared" si="26"/>
        <v>1995.2623149688804</v>
      </c>
      <c r="G70" s="136">
        <f t="shared" si="27"/>
        <v>6.5778513553986127</v>
      </c>
      <c r="H70" s="137">
        <f t="shared" si="28"/>
        <v>5.5201250000000011</v>
      </c>
      <c r="I70" s="138">
        <f t="shared" si="29"/>
        <v>631.94391000000007</v>
      </c>
      <c r="J70" s="136">
        <f t="shared" si="30"/>
        <v>6.5778513553986127</v>
      </c>
      <c r="K70" s="137">
        <f t="shared" si="31"/>
        <v>5.5201250000000011</v>
      </c>
      <c r="L70" s="138">
        <f t="shared" si="32"/>
        <v>792.91075500000011</v>
      </c>
      <c r="M70" s="136">
        <f t="shared" si="33"/>
        <v>6.5778513553986127</v>
      </c>
      <c r="N70" s="137">
        <f t="shared" si="34"/>
        <v>5.5201250000000011</v>
      </c>
      <c r="O70" s="138">
        <f t="shared" si="35"/>
        <v>1293.6964950000004</v>
      </c>
      <c r="P70" s="136">
        <f t="shared" si="36"/>
        <v>6.5778513553986127</v>
      </c>
      <c r="Q70" s="137">
        <f t="shared" si="37"/>
        <v>5.5201250000000011</v>
      </c>
      <c r="R70" s="138">
        <f t="shared" si="38"/>
        <v>1188.0545508</v>
      </c>
      <c r="S70" s="136">
        <f t="shared" si="39"/>
        <v>6.5778513553986127</v>
      </c>
      <c r="T70" s="137">
        <f t="shared" si="40"/>
        <v>5.5201250000000011</v>
      </c>
      <c r="U70" s="138">
        <f t="shared" si="41"/>
        <v>1627.5536550000002</v>
      </c>
      <c r="V70" s="143">
        <f t="shared" si="42"/>
        <v>300</v>
      </c>
      <c r="W70" s="144">
        <f t="shared" si="43"/>
        <v>100</v>
      </c>
      <c r="X70" s="144">
        <f t="shared" si="44"/>
        <v>50</v>
      </c>
      <c r="Y70" s="144">
        <f t="shared" si="45"/>
        <v>25</v>
      </c>
      <c r="Z70" s="142">
        <f t="shared" si="46"/>
        <v>20</v>
      </c>
    </row>
    <row r="71" spans="3:26" ht="17" thickBot="1" x14ac:dyDescent="0.25">
      <c r="C71" s="82">
        <v>34</v>
      </c>
      <c r="D71" s="107">
        <f t="shared" si="24"/>
        <v>148.96910013008056</v>
      </c>
      <c r="E71" s="133">
        <f t="shared" si="25"/>
        <v>34</v>
      </c>
      <c r="F71" s="134">
        <f t="shared" si="26"/>
        <v>2511.8864315095811</v>
      </c>
      <c r="G71" s="136">
        <f t="shared" si="27"/>
        <v>6.7770778533373131</v>
      </c>
      <c r="H71" s="137">
        <f t="shared" si="28"/>
        <v>5.5201250000000011</v>
      </c>
      <c r="I71" s="138">
        <f t="shared" si="29"/>
        <v>631.94391000000007</v>
      </c>
      <c r="J71" s="136">
        <f t="shared" si="30"/>
        <v>6.7770778533373131</v>
      </c>
      <c r="K71" s="137">
        <f t="shared" si="31"/>
        <v>5.5201250000000011</v>
      </c>
      <c r="L71" s="138">
        <f t="shared" si="32"/>
        <v>792.91075500000011</v>
      </c>
      <c r="M71" s="136">
        <f t="shared" si="33"/>
        <v>6.7770778533373131</v>
      </c>
      <c r="N71" s="137">
        <f t="shared" si="34"/>
        <v>5.5201250000000011</v>
      </c>
      <c r="O71" s="138">
        <f t="shared" si="35"/>
        <v>1293.6964950000004</v>
      </c>
      <c r="P71" s="136">
        <f t="shared" si="36"/>
        <v>6.7770778533373131</v>
      </c>
      <c r="Q71" s="137">
        <f t="shared" si="37"/>
        <v>5.5201250000000011</v>
      </c>
      <c r="R71" s="138">
        <f t="shared" si="38"/>
        <v>1188.0545508</v>
      </c>
      <c r="S71" s="136">
        <f t="shared" si="39"/>
        <v>6.7770778533373131</v>
      </c>
      <c r="T71" s="137">
        <f t="shared" si="40"/>
        <v>5.5201250000000011</v>
      </c>
      <c r="U71" s="138">
        <f t="shared" si="41"/>
        <v>1627.5536550000002</v>
      </c>
      <c r="V71" s="143">
        <f t="shared" si="42"/>
        <v>300</v>
      </c>
      <c r="W71" s="144">
        <f t="shared" si="43"/>
        <v>100</v>
      </c>
      <c r="X71" s="144">
        <f t="shared" si="44"/>
        <v>50</v>
      </c>
      <c r="Y71" s="144">
        <f t="shared" si="45"/>
        <v>25</v>
      </c>
      <c r="Z71" s="142">
        <f t="shared" si="46"/>
        <v>20</v>
      </c>
    </row>
    <row r="72" spans="3:26" ht="17" thickBot="1" x14ac:dyDescent="0.25">
      <c r="C72" s="82">
        <v>35</v>
      </c>
      <c r="D72" s="107">
        <f t="shared" si="24"/>
        <v>147.96910013008056</v>
      </c>
      <c r="E72" s="133">
        <f t="shared" si="25"/>
        <v>35</v>
      </c>
      <c r="F72" s="134">
        <f t="shared" si="26"/>
        <v>3162.2776601683804</v>
      </c>
      <c r="G72" s="136">
        <f t="shared" si="27"/>
        <v>6.9763226881296267</v>
      </c>
      <c r="H72" s="137">
        <f t="shared" si="28"/>
        <v>5.5201250000000011</v>
      </c>
      <c r="I72" s="138">
        <f t="shared" si="29"/>
        <v>631.94391000000007</v>
      </c>
      <c r="J72" s="136">
        <f t="shared" si="30"/>
        <v>6.9763226881296267</v>
      </c>
      <c r="K72" s="137">
        <f t="shared" si="31"/>
        <v>5.5201250000000011</v>
      </c>
      <c r="L72" s="138">
        <f t="shared" si="32"/>
        <v>792.91075500000011</v>
      </c>
      <c r="M72" s="136">
        <f t="shared" si="33"/>
        <v>6.9763226881296267</v>
      </c>
      <c r="N72" s="137">
        <f t="shared" si="34"/>
        <v>5.5201250000000011</v>
      </c>
      <c r="O72" s="138">
        <f t="shared" si="35"/>
        <v>1293.6964950000004</v>
      </c>
      <c r="P72" s="136">
        <f t="shared" si="36"/>
        <v>6.9763226881296267</v>
      </c>
      <c r="Q72" s="137">
        <f t="shared" si="37"/>
        <v>5.5201250000000011</v>
      </c>
      <c r="R72" s="138">
        <f t="shared" si="38"/>
        <v>1188.0545508</v>
      </c>
      <c r="S72" s="136">
        <f t="shared" si="39"/>
        <v>6.9763226881296267</v>
      </c>
      <c r="T72" s="137">
        <f t="shared" si="40"/>
        <v>5.5201250000000011</v>
      </c>
      <c r="U72" s="138">
        <f t="shared" si="41"/>
        <v>1627.5536550000002</v>
      </c>
      <c r="V72" s="143">
        <f t="shared" si="42"/>
        <v>300</v>
      </c>
      <c r="W72" s="144">
        <f t="shared" si="43"/>
        <v>100</v>
      </c>
      <c r="X72" s="144">
        <f t="shared" si="44"/>
        <v>50</v>
      </c>
      <c r="Y72" s="144">
        <f t="shared" si="45"/>
        <v>25</v>
      </c>
      <c r="Z72" s="142">
        <f t="shared" si="46"/>
        <v>20</v>
      </c>
    </row>
    <row r="73" spans="3:26" ht="17" thickBot="1" x14ac:dyDescent="0.25">
      <c r="C73" s="82">
        <v>36</v>
      </c>
      <c r="D73" s="107">
        <f t="shared" si="24"/>
        <v>146.96910013008056</v>
      </c>
      <c r="E73" s="133">
        <f t="shared" si="25"/>
        <v>36</v>
      </c>
      <c r="F73" s="134">
        <f t="shared" si="26"/>
        <v>3981.0717055349769</v>
      </c>
      <c r="G73" s="136">
        <f t="shared" si="27"/>
        <v>7.1755820908187857</v>
      </c>
      <c r="H73" s="137">
        <f t="shared" si="28"/>
        <v>5.5201250000000011</v>
      </c>
      <c r="I73" s="138">
        <f t="shared" si="29"/>
        <v>631.94391000000007</v>
      </c>
      <c r="J73" s="136">
        <f t="shared" si="30"/>
        <v>7.1755820908187857</v>
      </c>
      <c r="K73" s="137">
        <f t="shared" si="31"/>
        <v>5.5201250000000011</v>
      </c>
      <c r="L73" s="138">
        <f t="shared" si="32"/>
        <v>792.91075500000011</v>
      </c>
      <c r="M73" s="136">
        <f t="shared" si="33"/>
        <v>7.1755820908187857</v>
      </c>
      <c r="N73" s="137">
        <f t="shared" si="34"/>
        <v>5.5201250000000011</v>
      </c>
      <c r="O73" s="138">
        <f t="shared" si="35"/>
        <v>1293.6964950000004</v>
      </c>
      <c r="P73" s="136">
        <f t="shared" si="36"/>
        <v>7.1755820908187857</v>
      </c>
      <c r="Q73" s="137">
        <f t="shared" si="37"/>
        <v>5.5201250000000011</v>
      </c>
      <c r="R73" s="138">
        <f t="shared" si="38"/>
        <v>1188.0545508</v>
      </c>
      <c r="S73" s="136">
        <f t="shared" si="39"/>
        <v>7.1755820908187857</v>
      </c>
      <c r="T73" s="137">
        <f t="shared" si="40"/>
        <v>5.5201250000000011</v>
      </c>
      <c r="U73" s="138">
        <f t="shared" si="41"/>
        <v>1627.5536550000002</v>
      </c>
      <c r="V73" s="143">
        <f t="shared" si="42"/>
        <v>300</v>
      </c>
      <c r="W73" s="144">
        <f t="shared" si="43"/>
        <v>100</v>
      </c>
      <c r="X73" s="144">
        <f t="shared" si="44"/>
        <v>50</v>
      </c>
      <c r="Y73" s="144">
        <f t="shared" si="45"/>
        <v>25</v>
      </c>
      <c r="Z73" s="142">
        <f t="shared" si="46"/>
        <v>20</v>
      </c>
    </row>
    <row r="74" spans="3:26" ht="17" thickBot="1" x14ac:dyDescent="0.25">
      <c r="C74" s="82">
        <v>37</v>
      </c>
      <c r="D74" s="107">
        <f t="shared" si="24"/>
        <v>145.96910013008056</v>
      </c>
      <c r="E74" s="133">
        <f t="shared" si="25"/>
        <v>37</v>
      </c>
      <c r="F74" s="134">
        <f t="shared" si="26"/>
        <v>5011.8723362727324</v>
      </c>
      <c r="G74" s="136">
        <f t="shared" si="27"/>
        <v>7.3748530667246444</v>
      </c>
      <c r="H74" s="137">
        <f t="shared" si="28"/>
        <v>5.5201250000000011</v>
      </c>
      <c r="I74" s="138">
        <f t="shared" si="29"/>
        <v>631.94391000000007</v>
      </c>
      <c r="J74" s="136">
        <f t="shared" si="30"/>
        <v>7.3748530667246444</v>
      </c>
      <c r="K74" s="137">
        <f t="shared" si="31"/>
        <v>5.5201250000000011</v>
      </c>
      <c r="L74" s="138">
        <f t="shared" si="32"/>
        <v>792.91075500000011</v>
      </c>
      <c r="M74" s="136">
        <f t="shared" si="33"/>
        <v>7.3748530667246444</v>
      </c>
      <c r="N74" s="137">
        <f t="shared" si="34"/>
        <v>5.5201250000000011</v>
      </c>
      <c r="O74" s="138">
        <f t="shared" si="35"/>
        <v>1293.6964950000004</v>
      </c>
      <c r="P74" s="136">
        <f t="shared" si="36"/>
        <v>7.3748530667246444</v>
      </c>
      <c r="Q74" s="137">
        <f t="shared" si="37"/>
        <v>5.5201250000000011</v>
      </c>
      <c r="R74" s="138">
        <f t="shared" si="38"/>
        <v>1188.0545508</v>
      </c>
      <c r="S74" s="136">
        <f t="shared" si="39"/>
        <v>7.3748530667246444</v>
      </c>
      <c r="T74" s="137">
        <f t="shared" si="40"/>
        <v>5.5201250000000011</v>
      </c>
      <c r="U74" s="138">
        <f t="shared" si="41"/>
        <v>1627.5536550000002</v>
      </c>
      <c r="V74" s="143">
        <f t="shared" si="42"/>
        <v>300</v>
      </c>
      <c r="W74" s="144">
        <f t="shared" si="43"/>
        <v>100</v>
      </c>
      <c r="X74" s="144">
        <f t="shared" si="44"/>
        <v>50</v>
      </c>
      <c r="Y74" s="144">
        <f t="shared" si="45"/>
        <v>25</v>
      </c>
      <c r="Z74" s="142">
        <f t="shared" si="46"/>
        <v>20</v>
      </c>
    </row>
    <row r="75" spans="3:26" ht="17" thickBot="1" x14ac:dyDescent="0.25">
      <c r="C75" s="82">
        <v>38</v>
      </c>
      <c r="D75" s="107">
        <f t="shared" si="24"/>
        <v>144.96910013008056</v>
      </c>
      <c r="E75" s="133">
        <f t="shared" si="25"/>
        <v>38</v>
      </c>
      <c r="F75" s="134">
        <f t="shared" si="26"/>
        <v>6309.5734448019384</v>
      </c>
      <c r="G75" s="136">
        <f t="shared" si="27"/>
        <v>7.5741332365256238</v>
      </c>
      <c r="H75" s="137">
        <f t="shared" si="28"/>
        <v>5.5201250000000011</v>
      </c>
      <c r="I75" s="138">
        <f t="shared" si="29"/>
        <v>631.94391000000007</v>
      </c>
      <c r="J75" s="136">
        <f t="shared" si="30"/>
        <v>7.5741332365256238</v>
      </c>
      <c r="K75" s="137">
        <f t="shared" si="31"/>
        <v>5.5201250000000011</v>
      </c>
      <c r="L75" s="138">
        <f t="shared" si="32"/>
        <v>792.91075500000011</v>
      </c>
      <c r="M75" s="136">
        <f t="shared" si="33"/>
        <v>7.5741332365256238</v>
      </c>
      <c r="N75" s="137">
        <f t="shared" si="34"/>
        <v>5.5201250000000011</v>
      </c>
      <c r="O75" s="138">
        <f t="shared" si="35"/>
        <v>1293.6964950000004</v>
      </c>
      <c r="P75" s="136">
        <f t="shared" si="36"/>
        <v>7.5741332365256238</v>
      </c>
      <c r="Q75" s="137">
        <f t="shared" si="37"/>
        <v>5.5201250000000011</v>
      </c>
      <c r="R75" s="138">
        <f t="shared" si="38"/>
        <v>1188.0545508</v>
      </c>
      <c r="S75" s="136">
        <f t="shared" si="39"/>
        <v>7.5741332365256238</v>
      </c>
      <c r="T75" s="137">
        <f t="shared" si="40"/>
        <v>5.5201250000000011</v>
      </c>
      <c r="U75" s="138">
        <f t="shared" si="41"/>
        <v>1627.5536550000002</v>
      </c>
      <c r="V75" s="143">
        <f t="shared" si="42"/>
        <v>300</v>
      </c>
      <c r="W75" s="144">
        <f t="shared" si="43"/>
        <v>100</v>
      </c>
      <c r="X75" s="144">
        <f t="shared" si="44"/>
        <v>50</v>
      </c>
      <c r="Y75" s="144">
        <f t="shared" si="45"/>
        <v>25</v>
      </c>
      <c r="Z75" s="142">
        <f t="shared" si="46"/>
        <v>20</v>
      </c>
    </row>
    <row r="76" spans="3:26" ht="17" thickBot="1" x14ac:dyDescent="0.25">
      <c r="C76" s="82">
        <v>39</v>
      </c>
      <c r="D76" s="107">
        <f t="shared" si="24"/>
        <v>143.96910013008056</v>
      </c>
      <c r="E76" s="133">
        <f t="shared" si="25"/>
        <v>39</v>
      </c>
      <c r="F76" s="134">
        <f t="shared" si="26"/>
        <v>7943.2823472428154</v>
      </c>
      <c r="G76" s="136">
        <f t="shared" si="27"/>
        <v>7.7734207099043582</v>
      </c>
      <c r="H76" s="137">
        <f t="shared" si="28"/>
        <v>5.5201250000000011</v>
      </c>
      <c r="I76" s="138">
        <f t="shared" si="29"/>
        <v>631.94391000000007</v>
      </c>
      <c r="J76" s="136">
        <f t="shared" si="30"/>
        <v>7.7734207099043582</v>
      </c>
      <c r="K76" s="137">
        <f t="shared" si="31"/>
        <v>5.5201250000000011</v>
      </c>
      <c r="L76" s="138">
        <f t="shared" si="32"/>
        <v>792.91075500000011</v>
      </c>
      <c r="M76" s="136">
        <f t="shared" si="33"/>
        <v>7.7734207099043582</v>
      </c>
      <c r="N76" s="137">
        <f t="shared" si="34"/>
        <v>5.5201250000000011</v>
      </c>
      <c r="O76" s="138">
        <f t="shared" si="35"/>
        <v>1293.6964950000004</v>
      </c>
      <c r="P76" s="136">
        <f t="shared" si="36"/>
        <v>7.7734207099043582</v>
      </c>
      <c r="Q76" s="137">
        <f t="shared" si="37"/>
        <v>5.5201250000000011</v>
      </c>
      <c r="R76" s="138">
        <f t="shared" si="38"/>
        <v>1188.0545508</v>
      </c>
      <c r="S76" s="136">
        <f t="shared" si="39"/>
        <v>7.7734207099043582</v>
      </c>
      <c r="T76" s="137">
        <f t="shared" si="40"/>
        <v>5.5201250000000011</v>
      </c>
      <c r="U76" s="138">
        <f t="shared" si="41"/>
        <v>1627.5536550000002</v>
      </c>
      <c r="V76" s="143">
        <f t="shared" si="42"/>
        <v>300</v>
      </c>
      <c r="W76" s="144">
        <f t="shared" si="43"/>
        <v>100</v>
      </c>
      <c r="X76" s="144">
        <f t="shared" si="44"/>
        <v>50</v>
      </c>
      <c r="Y76" s="144">
        <f t="shared" si="45"/>
        <v>25</v>
      </c>
      <c r="Z76" s="142">
        <f t="shared" si="46"/>
        <v>20</v>
      </c>
    </row>
    <row r="77" spans="3:26" ht="17" thickBot="1" x14ac:dyDescent="0.25">
      <c r="C77" s="82">
        <v>40</v>
      </c>
      <c r="D77" s="107">
        <f t="shared" si="24"/>
        <v>142.96910013008056</v>
      </c>
      <c r="E77" s="133">
        <f t="shared" si="25"/>
        <v>40</v>
      </c>
      <c r="F77" s="134">
        <f t="shared" si="26"/>
        <v>10000</v>
      </c>
      <c r="G77" s="139">
        <f t="shared" si="27"/>
        <v>7.9727139851043267</v>
      </c>
      <c r="H77" s="140">
        <f t="shared" si="28"/>
        <v>5.5201250000000011</v>
      </c>
      <c r="I77" s="141">
        <f t="shared" si="29"/>
        <v>631.94391000000007</v>
      </c>
      <c r="J77" s="139">
        <f t="shared" si="30"/>
        <v>7.9727139851043267</v>
      </c>
      <c r="K77" s="140">
        <f t="shared" si="31"/>
        <v>5.5201250000000011</v>
      </c>
      <c r="L77" s="141">
        <f t="shared" si="32"/>
        <v>792.91075500000011</v>
      </c>
      <c r="M77" s="139">
        <f t="shared" si="33"/>
        <v>7.9727139851043267</v>
      </c>
      <c r="N77" s="140">
        <f t="shared" si="34"/>
        <v>5.5201250000000011</v>
      </c>
      <c r="O77" s="141">
        <f t="shared" si="35"/>
        <v>1293.6964950000004</v>
      </c>
      <c r="P77" s="139">
        <f t="shared" si="36"/>
        <v>7.9727139851043267</v>
      </c>
      <c r="Q77" s="140">
        <f t="shared" si="37"/>
        <v>5.5201250000000011</v>
      </c>
      <c r="R77" s="141">
        <f t="shared" si="38"/>
        <v>1188.0545508</v>
      </c>
      <c r="S77" s="139">
        <f t="shared" si="39"/>
        <v>7.9727139851043267</v>
      </c>
      <c r="T77" s="140">
        <f t="shared" si="40"/>
        <v>5.5201250000000011</v>
      </c>
      <c r="U77" s="141">
        <f t="shared" si="41"/>
        <v>1627.5536550000002</v>
      </c>
      <c r="V77" s="145">
        <f t="shared" si="42"/>
        <v>300</v>
      </c>
      <c r="W77" s="146">
        <f t="shared" si="43"/>
        <v>100</v>
      </c>
      <c r="X77" s="146">
        <f t="shared" si="44"/>
        <v>50</v>
      </c>
      <c r="Y77" s="146">
        <f t="shared" si="45"/>
        <v>25</v>
      </c>
      <c r="Z77" s="147">
        <f t="shared" si="46"/>
        <v>20</v>
      </c>
    </row>
  </sheetData>
  <mergeCells count="9">
    <mergeCell ref="C17:D17"/>
    <mergeCell ref="C18:D18"/>
    <mergeCell ref="G25:I25"/>
    <mergeCell ref="V25:Z25"/>
    <mergeCell ref="F3:G3"/>
    <mergeCell ref="J25:L25"/>
    <mergeCell ref="M25:O25"/>
    <mergeCell ref="P25:R25"/>
    <mergeCell ref="S25:U25"/>
  </mergeCells>
  <conditionalFormatting sqref="G4">
    <cfRule type="cellIs" dxfId="11" priority="10" stopIfTrue="1" operator="notEqual">
      <formula>TRUE</formula>
    </cfRule>
  </conditionalFormatting>
  <conditionalFormatting sqref="G5">
    <cfRule type="cellIs" dxfId="10" priority="9" stopIfTrue="1" operator="notEqual">
      <formula>TRUE</formula>
    </cfRule>
  </conditionalFormatting>
  <conditionalFormatting sqref="G6">
    <cfRule type="cellIs" dxfId="9" priority="8" stopIfTrue="1" operator="notEqual">
      <formula>TRUE</formula>
    </cfRule>
  </conditionalFormatting>
  <conditionalFormatting sqref="G7">
    <cfRule type="cellIs" dxfId="8" priority="7" stopIfTrue="1" operator="notEqual">
      <formula>TRUE</formula>
    </cfRule>
  </conditionalFormatting>
  <conditionalFormatting sqref="G11:G15">
    <cfRule type="cellIs" dxfId="7" priority="6" stopIfTrue="1" operator="notEqual">
      <formula>TRUE</formula>
    </cfRule>
  </conditionalFormatting>
  <conditionalFormatting sqref="G17">
    <cfRule type="cellIs" dxfId="6" priority="1" stopIfTrue="1" operator="notEqual">
      <formula>TRUE</formula>
    </cfRule>
  </conditionalFormatting>
  <dataValidations count="2">
    <dataValidation type="list" allowBlank="1" showInputMessage="1" showErrorMessage="1" sqref="C7" xr:uid="{45B9FFFA-707C-44FF-AA80-7E4F277B9641}">
      <formula1>$C$26:$D$26</formula1>
    </dataValidation>
    <dataValidation type="list" allowBlank="1" showInputMessage="1" showErrorMessage="1" sqref="C6 D11:D15" xr:uid="{9F012947-7C5B-4F3D-A467-7297DD695846}">
      <formula1>"Yes,No"</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8881B8C0-903F-4811-8AFB-7603B418DBC9}">
          <x14:formula1>
            <xm:f>Inputs!$B$7:$B$8</xm:f>
          </x14:formula1>
          <xm:sqref>C17:D17</xm:sqref>
        </x14:dataValidation>
        <x14:dataValidation type="list" allowBlank="1" showInputMessage="1" showErrorMessage="1" xr:uid="{48ED6865-D469-42E0-B8A3-7748DE202363}">
          <x14:formula1>
            <xm:f>Inputs!$B$87:$B$94</xm:f>
          </x14:formula1>
          <xm:sqref>F3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9A86B3-443E-4F88-BD7F-6837950F4140}">
  <sheetPr>
    <tabColor rgb="FF92D050"/>
  </sheetPr>
  <dimension ref="A1:Z67"/>
  <sheetViews>
    <sheetView zoomScale="60" zoomScaleNormal="60" workbookViewId="0"/>
  </sheetViews>
  <sheetFormatPr baseColWidth="10" defaultColWidth="9.5" defaultRowHeight="16" x14ac:dyDescent="0.2"/>
  <cols>
    <col min="1" max="1" width="4.6640625" style="31" customWidth="1"/>
    <col min="2" max="2" width="51.1640625" style="31" customWidth="1"/>
    <col min="3" max="3" width="16.1640625" style="31" customWidth="1"/>
    <col min="4" max="4" width="11.6640625" style="31" customWidth="1"/>
    <col min="5" max="5" width="10.5" style="31" customWidth="1"/>
    <col min="6" max="17" width="16.1640625" style="31" customWidth="1"/>
    <col min="18" max="18" width="12.1640625" style="31" customWidth="1"/>
    <col min="19" max="19" width="13.1640625" style="31" customWidth="1"/>
    <col min="20" max="20" width="13.33203125" style="31" customWidth="1"/>
    <col min="21" max="21" width="14.6640625" style="31" customWidth="1"/>
    <col min="22" max="22" width="11.6640625" style="31" customWidth="1"/>
    <col min="23" max="16384" width="9.5" style="31"/>
  </cols>
  <sheetData>
    <row r="1" spans="1:20" customFormat="1" ht="40.5" customHeight="1" x14ac:dyDescent="0.2">
      <c r="A1" s="8" t="s">
        <v>209</v>
      </c>
    </row>
    <row r="2" spans="1:20" customFormat="1" ht="40.5" customHeight="1" thickBot="1" x14ac:dyDescent="0.25">
      <c r="A2" s="8"/>
      <c r="F2" s="153" t="s">
        <v>210</v>
      </c>
      <c r="G2" s="154"/>
    </row>
    <row r="3" spans="1:20" ht="17" thickBot="1" x14ac:dyDescent="0.25">
      <c r="B3" s="24" t="s">
        <v>43</v>
      </c>
      <c r="C3"/>
      <c r="F3" s="181" t="s">
        <v>222</v>
      </c>
      <c r="G3" s="182"/>
      <c r="H3"/>
      <c r="I3"/>
      <c r="J3"/>
      <c r="K3"/>
      <c r="L3"/>
      <c r="M3"/>
      <c r="N3"/>
      <c r="O3"/>
      <c r="P3"/>
      <c r="Q3"/>
      <c r="R3"/>
      <c r="S3"/>
      <c r="T3"/>
    </row>
    <row r="4" spans="1:20" x14ac:dyDescent="0.2">
      <c r="B4" t="s">
        <v>163</v>
      </c>
      <c r="C4" s="117" t="str">
        <f>BS_type</f>
        <v>Macro</v>
      </c>
      <c r="D4" s="22" t="s">
        <v>162</v>
      </c>
      <c r="F4" s="155" t="str">
        <f>VLOOKUP('UL linkLevel'!$F$3,Inputs!$B$98:$L$106,3,FALSE)</f>
        <v>Macro</v>
      </c>
      <c r="G4" s="156" t="b">
        <f>F4=C4</f>
        <v>1</v>
      </c>
      <c r="H4"/>
      <c r="I4"/>
      <c r="J4"/>
      <c r="K4"/>
      <c r="L4"/>
      <c r="M4"/>
      <c r="N4"/>
      <c r="O4"/>
      <c r="P4"/>
      <c r="Q4"/>
      <c r="R4"/>
      <c r="S4"/>
      <c r="T4"/>
    </row>
    <row r="5" spans="1:20" x14ac:dyDescent="0.2">
      <c r="B5" t="s">
        <v>29</v>
      </c>
      <c r="C5" s="148">
        <v>0.25</v>
      </c>
      <c r="D5" s="125" t="s">
        <v>169</v>
      </c>
      <c r="F5" s="162">
        <f>VLOOKUP('UL linkLevel'!$F$3,Inputs!$B$98:$L$106,2,FALSE)</f>
        <v>0.25</v>
      </c>
      <c r="G5" s="156" t="b">
        <f>F5=C5</f>
        <v>1</v>
      </c>
      <c r="H5"/>
      <c r="I5"/>
      <c r="J5"/>
      <c r="K5"/>
      <c r="L5"/>
      <c r="M5"/>
      <c r="N5"/>
      <c r="O5"/>
      <c r="P5"/>
      <c r="Q5"/>
      <c r="R5"/>
      <c r="S5"/>
      <c r="T5"/>
    </row>
    <row r="6" spans="1:20" x14ac:dyDescent="0.2">
      <c r="B6" t="s">
        <v>33</v>
      </c>
      <c r="C6" s="149" t="s">
        <v>10</v>
      </c>
      <c r="D6" s="125" t="s">
        <v>168</v>
      </c>
      <c r="E6" s="150"/>
      <c r="F6" s="162" t="str">
        <f>VLOOKUP('UL linkLevel'!$F$3,Inputs!$B$98:$L$106,6,FALSE)</f>
        <v>No</v>
      </c>
      <c r="G6" s="156" t="b">
        <f>F6=C6</f>
        <v>1</v>
      </c>
      <c r="H6"/>
      <c r="I6"/>
      <c r="J6"/>
      <c r="K6"/>
      <c r="L6"/>
      <c r="M6"/>
      <c r="N6"/>
      <c r="O6"/>
      <c r="P6"/>
      <c r="Q6"/>
      <c r="R6"/>
      <c r="S6"/>
      <c r="T6"/>
    </row>
    <row r="7" spans="1:20" ht="17" thickBot="1" x14ac:dyDescent="0.25">
      <c r="B7" t="s">
        <v>158</v>
      </c>
      <c r="C7" s="73" t="s">
        <v>22</v>
      </c>
      <c r="D7" s="125" t="s">
        <v>167</v>
      </c>
      <c r="F7" s="162" t="str">
        <f>VLOOKUP('UL linkLevel'!$F$3,Inputs!$B$98:$L$106,5,FALSE)</f>
        <v>SINR per layer (dB)</v>
      </c>
      <c r="G7" s="156" t="b">
        <f>F7=C7</f>
        <v>1</v>
      </c>
      <c r="H7"/>
      <c r="I7"/>
      <c r="J7"/>
      <c r="K7"/>
      <c r="L7"/>
      <c r="M7"/>
      <c r="N7"/>
      <c r="O7"/>
      <c r="P7"/>
      <c r="Q7"/>
      <c r="R7"/>
      <c r="S7"/>
      <c r="T7"/>
    </row>
    <row r="8" spans="1:20" ht="17" thickBot="1" x14ac:dyDescent="0.25">
      <c r="B8" t="s">
        <v>160</v>
      </c>
      <c r="C8" s="112" t="str">
        <f>CONCATENATE("Uplink SUT Distribution (Uplink ",UL_ratio*100,"%)")</f>
        <v>Uplink SUT Distribution (Uplink 25%)</v>
      </c>
      <c r="F8" s="158"/>
      <c r="G8" s="159"/>
      <c r="H8"/>
      <c r="I8"/>
      <c r="J8"/>
      <c r="K8"/>
      <c r="L8"/>
      <c r="M8"/>
      <c r="N8"/>
      <c r="O8"/>
      <c r="P8"/>
      <c r="Q8"/>
      <c r="R8"/>
      <c r="S8"/>
      <c r="T8"/>
    </row>
    <row r="9" spans="1:20" x14ac:dyDescent="0.2">
      <c r="F9" s="158"/>
      <c r="G9" s="159"/>
      <c r="H9"/>
      <c r="I9"/>
      <c r="J9"/>
      <c r="K9"/>
      <c r="L9"/>
      <c r="M9"/>
      <c r="N9"/>
      <c r="O9"/>
      <c r="P9"/>
      <c r="Q9"/>
      <c r="R9"/>
      <c r="S9"/>
      <c r="T9"/>
    </row>
    <row r="10" spans="1:20" x14ac:dyDescent="0.2">
      <c r="B10" s="126" t="s">
        <v>156</v>
      </c>
      <c r="C10" s="151" t="s">
        <v>82</v>
      </c>
      <c r="D10" s="151" t="s">
        <v>155</v>
      </c>
      <c r="F10" s="158"/>
      <c r="G10" s="159"/>
      <c r="H10"/>
      <c r="I10"/>
      <c r="J10"/>
      <c r="K10"/>
      <c r="L10"/>
      <c r="M10"/>
      <c r="N10"/>
      <c r="O10"/>
      <c r="P10"/>
      <c r="Q10"/>
      <c r="R10"/>
      <c r="S10"/>
      <c r="T10"/>
    </row>
    <row r="11" spans="1:20" ht="32" x14ac:dyDescent="0.2">
      <c r="B11" s="128" t="str">
        <f>Inputs!B35</f>
        <v>Mobile broadband live video; Cloud computer games for connected vehicles with 4K 3D graphics</v>
      </c>
      <c r="C11" s="128">
        <f>Inputs!C35</f>
        <v>50</v>
      </c>
      <c r="D11" s="129" t="s">
        <v>8</v>
      </c>
      <c r="F11" s="162" t="str">
        <f>VLOOKUP('UL linkLevel'!$F$3,Inputs!$B$98:$L$106,7,FALSE)</f>
        <v>Yes</v>
      </c>
      <c r="G11" s="156" t="b">
        <f>F11=D11</f>
        <v>1</v>
      </c>
      <c r="H11"/>
      <c r="I11"/>
      <c r="J11"/>
      <c r="K11"/>
      <c r="L11"/>
      <c r="M11"/>
      <c r="N11"/>
      <c r="O11"/>
      <c r="P11"/>
      <c r="Q11"/>
      <c r="R11"/>
      <c r="S11"/>
      <c r="T11"/>
    </row>
    <row r="12" spans="1:20" x14ac:dyDescent="0.2">
      <c r="B12" s="128" t="str">
        <f>Inputs!B36</f>
        <v>Industrial control</v>
      </c>
      <c r="C12" s="128">
        <f>Inputs!C36</f>
        <v>25</v>
      </c>
      <c r="D12" s="129" t="s">
        <v>10</v>
      </c>
      <c r="F12" s="162" t="str">
        <f>VLOOKUP('UL linkLevel'!$F$3,Inputs!$B$98:$L$106,8,FALSE)</f>
        <v>No</v>
      </c>
      <c r="G12" s="156" t="b">
        <f t="shared" ref="G12:G15" si="0">F12=D12</f>
        <v>1</v>
      </c>
      <c r="H12"/>
      <c r="I12"/>
      <c r="J12"/>
      <c r="K12"/>
      <c r="L12"/>
      <c r="M12"/>
      <c r="N12"/>
      <c r="O12"/>
      <c r="P12"/>
      <c r="Q12"/>
      <c r="R12"/>
      <c r="S12"/>
      <c r="T12"/>
    </row>
    <row r="13" spans="1:20" x14ac:dyDescent="0.2">
      <c r="B13" s="128" t="str">
        <f>Inputs!B37</f>
        <v>Connectivity for drones</v>
      </c>
      <c r="C13" s="128">
        <f>Inputs!C37</f>
        <v>20</v>
      </c>
      <c r="D13" s="129" t="s">
        <v>8</v>
      </c>
      <c r="F13" s="162" t="str">
        <f>VLOOKUP('UL linkLevel'!$F$3,Inputs!$B$98:$L$106,9,FALSE)</f>
        <v>Yes</v>
      </c>
      <c r="G13" s="156" t="b">
        <f t="shared" si="0"/>
        <v>1</v>
      </c>
      <c r="H13"/>
      <c r="I13"/>
      <c r="J13"/>
      <c r="K13"/>
      <c r="L13"/>
      <c r="M13"/>
      <c r="N13"/>
      <c r="O13"/>
      <c r="P13"/>
      <c r="Q13"/>
      <c r="R13"/>
      <c r="S13"/>
      <c r="T13"/>
    </row>
    <row r="14" spans="1:20" x14ac:dyDescent="0.2">
      <c r="B14" s="128">
        <f>Inputs!B38</f>
        <v>0</v>
      </c>
      <c r="C14" s="128">
        <f>Inputs!C38</f>
        <v>0</v>
      </c>
      <c r="D14" s="129" t="s">
        <v>10</v>
      </c>
      <c r="F14" s="162" t="str">
        <f>VLOOKUP('UL linkLevel'!$F$3,Inputs!$B$98:$L$106,10,FALSE)</f>
        <v>No</v>
      </c>
      <c r="G14" s="156" t="b">
        <f t="shared" si="0"/>
        <v>1</v>
      </c>
      <c r="H14"/>
      <c r="I14"/>
      <c r="J14"/>
      <c r="K14"/>
      <c r="L14"/>
      <c r="M14"/>
      <c r="N14"/>
      <c r="O14"/>
      <c r="P14"/>
      <c r="Q14"/>
      <c r="R14"/>
      <c r="S14"/>
      <c r="T14"/>
    </row>
    <row r="15" spans="1:20" x14ac:dyDescent="0.2">
      <c r="B15" s="128">
        <f>Inputs!B39</f>
        <v>0</v>
      </c>
      <c r="C15" s="128">
        <f>Inputs!C39</f>
        <v>0</v>
      </c>
      <c r="D15" s="129" t="s">
        <v>10</v>
      </c>
      <c r="F15" s="162" t="str">
        <f>VLOOKUP('UL linkLevel'!$F$3,Inputs!$B$98:$L$106,11,FALSE)</f>
        <v>No</v>
      </c>
      <c r="G15" s="156" t="b">
        <f t="shared" si="0"/>
        <v>1</v>
      </c>
      <c r="H15"/>
      <c r="I15"/>
      <c r="J15"/>
      <c r="K15"/>
      <c r="L15"/>
      <c r="M15"/>
      <c r="N15"/>
      <c r="O15"/>
      <c r="P15"/>
      <c r="Q15"/>
      <c r="R15"/>
      <c r="S15"/>
      <c r="T15"/>
    </row>
    <row r="16" spans="1:20" ht="17" thickBot="1" x14ac:dyDescent="0.25">
      <c r="B16" s="32"/>
      <c r="C16" s="32"/>
      <c r="D16" s="32"/>
      <c r="F16" s="158"/>
      <c r="G16" s="159"/>
      <c r="H16"/>
      <c r="I16"/>
      <c r="J16"/>
      <c r="K16"/>
      <c r="L16"/>
      <c r="M16"/>
      <c r="N16"/>
      <c r="O16"/>
      <c r="P16"/>
      <c r="Q16"/>
      <c r="R16"/>
      <c r="S16"/>
      <c r="T16"/>
    </row>
    <row r="17" spans="1:26" ht="17" thickBot="1" x14ac:dyDescent="0.25">
      <c r="B17" s="40" t="s">
        <v>154</v>
      </c>
      <c r="C17" s="176" t="s">
        <v>53</v>
      </c>
      <c r="D17" s="176"/>
      <c r="F17" s="162" t="str">
        <f>VLOOKUP('UL linkLevel'!$F$3,Inputs!$B$98:$L$106,4,FALSE)</f>
        <v>UL New</v>
      </c>
      <c r="G17" s="161" t="b">
        <f>F17=C17</f>
        <v>1</v>
      </c>
      <c r="H17"/>
      <c r="I17"/>
      <c r="J17"/>
      <c r="K17"/>
      <c r="L17"/>
      <c r="M17"/>
      <c r="N17"/>
      <c r="O17"/>
      <c r="P17"/>
      <c r="Q17"/>
      <c r="R17"/>
      <c r="S17"/>
      <c r="T17"/>
    </row>
    <row r="18" spans="1:26" ht="34" x14ac:dyDescent="0.2">
      <c r="B18" s="31" t="s">
        <v>153</v>
      </c>
      <c r="C18" s="177">
        <f>VLOOKUP('UL linkLevel'!C17,Inputs!B9:'Inputs'!C10,2,FALSE)</f>
        <v>1</v>
      </c>
      <c r="D18" s="177"/>
      <c r="E18" s="125" t="s">
        <v>166</v>
      </c>
      <c r="G18" s="23"/>
      <c r="H18"/>
      <c r="J18" s="130" t="s">
        <v>151</v>
      </c>
      <c r="K18" s="131">
        <v>2</v>
      </c>
      <c r="L18" s="132">
        <v>2</v>
      </c>
      <c r="M18"/>
      <c r="N18"/>
      <c r="O18"/>
      <c r="P18"/>
      <c r="Q18"/>
      <c r="R18"/>
      <c r="S18"/>
      <c r="T18"/>
    </row>
    <row r="19" spans="1:26" ht="69" thickBot="1" x14ac:dyDescent="0.25">
      <c r="B19" s="25"/>
      <c r="C19" s="25" t="s">
        <v>48</v>
      </c>
      <c r="D19" s="25" t="s">
        <v>47</v>
      </c>
      <c r="E19" s="25" t="s">
        <v>46</v>
      </c>
      <c r="F19" s="25" t="s">
        <v>45</v>
      </c>
      <c r="G19" s="39" t="s">
        <v>150</v>
      </c>
      <c r="H19" s="37" t="s">
        <v>149</v>
      </c>
      <c r="I19" s="38" t="s">
        <v>148</v>
      </c>
      <c r="J19" s="38" t="s">
        <v>147</v>
      </c>
      <c r="K19" s="38" t="s">
        <v>146</v>
      </c>
      <c r="L19" s="38" t="s">
        <v>145</v>
      </c>
      <c r="M19" s="37" t="s">
        <v>144</v>
      </c>
      <c r="N19" s="37" t="s">
        <v>143</v>
      </c>
      <c r="O19" s="37" t="s">
        <v>142</v>
      </c>
      <c r="P19" s="37" t="s">
        <v>141</v>
      </c>
    </row>
    <row r="20" spans="1:26" ht="17" thickBot="1" x14ac:dyDescent="0.25">
      <c r="A20" s="65">
        <v>1</v>
      </c>
      <c r="B20" s="36" t="s">
        <v>42</v>
      </c>
      <c r="C20" s="117">
        <f>HLOOKUP(C$19,Inputs!$B$65:$G$80,UL_scenario_offset+$A20,FALSE)</f>
        <v>2</v>
      </c>
      <c r="D20" s="117">
        <f>HLOOKUP(D$19,Inputs!$B$65:$G$80,UL_scenario_offset+$A20,FALSE)</f>
        <v>30</v>
      </c>
      <c r="E20" s="117">
        <f>HLOOKUP(E$19,Inputs!$B$65:$G$80,UL_scenario_offset+$A20,FALSE)</f>
        <v>40</v>
      </c>
      <c r="F20" s="117">
        <f>HLOOKUP(F$19,Inputs!$B$65:$G$80,UL_scenario_offset+$A20,FALSE)</f>
        <v>0</v>
      </c>
      <c r="G20" s="122">
        <f>IF(F20=0,1,1-CA_Loss)</f>
        <v>1</v>
      </c>
      <c r="H20" s="122">
        <f>SUM(E20:F20)</f>
        <v>40</v>
      </c>
      <c r="I20" s="112">
        <f>VLOOKUP(D20,Inputs!$F$7:$G$9,2,FALSE)</f>
        <v>1</v>
      </c>
      <c r="J20" s="112">
        <f>IF(E20&gt;0,HLOOKUP(E20,Inputs!$H$6:$O$9,$I20+$K$18,FALSE),)</f>
        <v>106</v>
      </c>
      <c r="K20" s="112">
        <f>IF(F20&gt;0,HLOOKUP(F20,Inputs!$H$6:$O$9,$I20+$K$18,FALSE),)</f>
        <v>0</v>
      </c>
      <c r="L20" s="107">
        <f>C20*UL_ratio*UL_Qm*UL_f*UL_Rmax*(1-UL_OH)*Subcarriers*Symbols*(2^I20)*(J20+K20)/1000</f>
        <v>84.504127499999996</v>
      </c>
      <c r="M20" s="122">
        <f>((D20*12*J20)+(D20*12*K20))/1000</f>
        <v>38.159999999999997</v>
      </c>
      <c r="N20" s="152">
        <f>IF(L20&gt;0,L20/(M20*C20*UL_ratio),"")</f>
        <v>4.4289375</v>
      </c>
      <c r="O20" s="123">
        <f>IF(UL_scale="Yes",UL_NormBW*UL_NormLayers/(M20*C20),1)</f>
        <v>1</v>
      </c>
      <c r="P20" s="117" t="str">
        <f>HLOOKUP(P$19,Inputs!$B$65:$G$80,UL_scenario_offset+$A20,FALSE)</f>
        <v>Single carrier, 2 layers, scs 30 kHz, 40 MHz</v>
      </c>
    </row>
    <row r="21" spans="1:26" ht="17" thickBot="1" x14ac:dyDescent="0.25">
      <c r="A21" s="65">
        <v>2</v>
      </c>
      <c r="B21" s="36" t="s">
        <v>39</v>
      </c>
      <c r="C21" s="117">
        <f>HLOOKUP(C$19,Inputs!$B$65:$G$80,UL_scenario_offset+$A21,FALSE)</f>
        <v>2</v>
      </c>
      <c r="D21" s="117">
        <f>HLOOKUP(D$19,Inputs!$B$65:$G$80,UL_scenario_offset+$A21,FALSE)</f>
        <v>30</v>
      </c>
      <c r="E21" s="117">
        <f>HLOOKUP(E$19,Inputs!$B$65:$G$80,UL_scenario_offset+$A21,FALSE)</f>
        <v>50</v>
      </c>
      <c r="F21" s="117">
        <f>HLOOKUP(F$19,Inputs!$B$65:$G$80,UL_scenario_offset+$A21,FALSE)</f>
        <v>0</v>
      </c>
      <c r="G21" s="122">
        <f>IF(F21=0,1,1-CA_Loss)</f>
        <v>1</v>
      </c>
      <c r="H21" s="122">
        <f>SUM(E21:F21)</f>
        <v>50</v>
      </c>
      <c r="I21" s="112">
        <f>VLOOKUP(D21,Inputs!$F$7:$G$9,2,FALSE)</f>
        <v>1</v>
      </c>
      <c r="J21" s="112">
        <f>IF(E21&gt;0,HLOOKUP(E21,Inputs!$H$6:$O$9,$I21+$K$18,FALSE),)</f>
        <v>133</v>
      </c>
      <c r="K21" s="112">
        <f>IF(F21&gt;0,HLOOKUP(F21,Inputs!$H$6:$O$9,$I21+$K$18,FALSE),)</f>
        <v>0</v>
      </c>
      <c r="L21" s="107">
        <f>C21*UL_ratio*UL_Qm*UL_f*UL_Rmax*(1-UL_OH)*Subcarriers*Symbols*(2^I21)*(J21+K21)/1000</f>
        <v>106.02876375</v>
      </c>
      <c r="M21" s="122">
        <f>((D21*12*J21)+(D21*12*K21))/1000</f>
        <v>47.88</v>
      </c>
      <c r="N21" s="152">
        <f>IF(L21&gt;0,L21/(M21*C21*UL_ratio),"")</f>
        <v>4.4289375</v>
      </c>
      <c r="O21" s="123">
        <f>IF(UL_scale="Yes",UL_NormBW*UL_NormLayers/(M21*C21),1)</f>
        <v>1</v>
      </c>
      <c r="P21" s="117" t="str">
        <f>HLOOKUP(P$19,Inputs!$B$65:$G$80,UL_scenario_offset+$A21,FALSE)</f>
        <v xml:space="preserve">Single carrier, 2 layers, scs 30 kHz, 50 MHz </v>
      </c>
    </row>
    <row r="22" spans="1:26" ht="17" thickBot="1" x14ac:dyDescent="0.25">
      <c r="A22" s="65">
        <v>3</v>
      </c>
      <c r="B22" s="36" t="s">
        <v>36</v>
      </c>
      <c r="C22" s="117">
        <f>HLOOKUP(C$19,Inputs!$B$65:$G$80,UL_scenario_offset+$A22,FALSE)</f>
        <v>2</v>
      </c>
      <c r="D22" s="117">
        <f>HLOOKUP(D$19,Inputs!$B$65:$G$80,UL_scenario_offset+$A22,FALSE)</f>
        <v>30</v>
      </c>
      <c r="E22" s="117">
        <f>HLOOKUP(E$19,Inputs!$B$65:$G$80,UL_scenario_offset+$A22,FALSE)</f>
        <v>80</v>
      </c>
      <c r="F22" s="117">
        <f>HLOOKUP(F$19,Inputs!$B$65:$G$80,UL_scenario_offset+$A22,FALSE)</f>
        <v>0</v>
      </c>
      <c r="G22" s="122">
        <f>IF(F22=0,1,1-CA_Loss)</f>
        <v>1</v>
      </c>
      <c r="H22" s="122">
        <f>SUM(E22:F22)</f>
        <v>80</v>
      </c>
      <c r="I22" s="112">
        <f>VLOOKUP(D22,Inputs!$F$7:$G$9,2,FALSE)</f>
        <v>1</v>
      </c>
      <c r="J22" s="112">
        <f>IF(E22&gt;0,HLOOKUP(E22,Inputs!$H$6:$O$9,$I22+$K$18,FALSE),)</f>
        <v>217</v>
      </c>
      <c r="K22" s="112">
        <f>IF(F22&gt;0,HLOOKUP(F22,Inputs!$H$6:$O$9,$I22+$K$18,FALSE),)</f>
        <v>0</v>
      </c>
      <c r="L22" s="107">
        <f>C22*UL_ratio*UL_Qm*UL_f*UL_Rmax*(1-UL_OH)*Subcarriers*Symbols*(2^I22)*(J22+K22)/1000</f>
        <v>172.99429875000001</v>
      </c>
      <c r="M22" s="122">
        <f>((D22*12*J22)+(D22*12*K22))/1000</f>
        <v>78.12</v>
      </c>
      <c r="N22" s="152">
        <f>IF(L22&gt;0,L22/(M22*C22*UL_ratio),"")</f>
        <v>4.4289375</v>
      </c>
      <c r="O22" s="123">
        <f>IF(UL_scale="Yes",UL_NormBW*UL_NormLayers/(M22*C22),1)</f>
        <v>1</v>
      </c>
      <c r="P22" s="117" t="str">
        <f>HLOOKUP(P$19,Inputs!$B$65:$G$80,UL_scenario_offset+$A22,FALSE)</f>
        <v>Single carrier, 2 layers, scs 30 kHz, 80 MHz</v>
      </c>
    </row>
    <row r="23" spans="1:26" ht="15.75" customHeight="1" thickBot="1" x14ac:dyDescent="0.25">
      <c r="A23" s="65">
        <v>4</v>
      </c>
      <c r="B23" s="36" t="s">
        <v>32</v>
      </c>
      <c r="C23" s="117">
        <f>HLOOKUP(C$19,Inputs!$B$65:$G$80,UL_scenario_offset+$A23,FALSE)</f>
        <v>2</v>
      </c>
      <c r="D23" s="117">
        <f>HLOOKUP(D$19,Inputs!$B$65:$G$80,UL_scenario_offset+$A23,FALSE)</f>
        <v>30</v>
      </c>
      <c r="E23" s="117">
        <f>HLOOKUP(E$19,Inputs!$B$65:$G$80,UL_scenario_offset+$A23,FALSE)</f>
        <v>100</v>
      </c>
      <c r="F23" s="117">
        <f>HLOOKUP(F$19,Inputs!$B$65:$G$80,UL_scenario_offset+$A23,FALSE)</f>
        <v>0</v>
      </c>
      <c r="G23" s="122">
        <f>IF(F23=0,1,1-CA_Loss)</f>
        <v>1</v>
      </c>
      <c r="H23" s="122">
        <f>SUM(E23:F23)</f>
        <v>100</v>
      </c>
      <c r="I23" s="112">
        <f>VLOOKUP(D23,Inputs!$F$7:$G$9,2,FALSE)</f>
        <v>1</v>
      </c>
      <c r="J23" s="112">
        <f>IF(E23&gt;0,HLOOKUP(E23,Inputs!$H$6:$O$9,$I23+$K$18,FALSE),)</f>
        <v>273</v>
      </c>
      <c r="K23" s="112">
        <f>IF(F23&gt;0,HLOOKUP(F23,Inputs!$H$6:$O$9,$I23+$K$18,FALSE),)</f>
        <v>0</v>
      </c>
      <c r="L23" s="107">
        <f>C23*UL_ratio*UL_Qm*UL_f*UL_Rmax*(1-UL_OH)*Subcarriers*Symbols*(2^I23)*(J23+K23)/1000</f>
        <v>217.63798874999998</v>
      </c>
      <c r="M23" s="122">
        <f>((D23*12*J23)+(D23*12*K23))/1000</f>
        <v>98.28</v>
      </c>
      <c r="N23" s="152">
        <f>IF(L23&gt;0,L23/(M23*C23*UL_ratio),"")</f>
        <v>4.4289374999999991</v>
      </c>
      <c r="O23" s="123">
        <f>IF(UL_scale="Yes",UL_NormBW*UL_NormLayers/(M23*C23),1)</f>
        <v>1</v>
      </c>
      <c r="P23" s="117" t="str">
        <f>HLOOKUP(P$19,Inputs!$B$65:$G$80,UL_scenario_offset+$A23,FALSE)</f>
        <v>Single carrier, 2 layers, scs 30 kHz, 100 MHz</v>
      </c>
    </row>
    <row r="24" spans="1:26" ht="17" thickBot="1" x14ac:dyDescent="0.25">
      <c r="A24" s="65">
        <v>5</v>
      </c>
      <c r="B24" s="36" t="s">
        <v>28</v>
      </c>
      <c r="C24" s="117">
        <f>HLOOKUP(C$19,Inputs!$B$65:$G$80,UL_scenario_offset+$A24,FALSE)</f>
        <v>2</v>
      </c>
      <c r="D24" s="117">
        <f>HLOOKUP(D$19,Inputs!$B$65:$G$80,UL_scenario_offset+$A24,FALSE)</f>
        <v>30</v>
      </c>
      <c r="E24" s="117">
        <f>HLOOKUP(E$19,Inputs!$B$65:$G$80,UL_scenario_offset+$A24,FALSE)</f>
        <v>0</v>
      </c>
      <c r="F24" s="117">
        <f>HLOOKUP(F$19,Inputs!$B$65:$G$80,UL_scenario_offset+$A24,FALSE)</f>
        <v>0</v>
      </c>
      <c r="G24" s="122">
        <f>IF(F24=0,1,1-CA_Loss)</f>
        <v>1</v>
      </c>
      <c r="H24" s="122">
        <f>SUM(E24:F24)</f>
        <v>0</v>
      </c>
      <c r="I24" s="112">
        <f>VLOOKUP(D24,Inputs!$F$7:$G$9,2,FALSE)</f>
        <v>1</v>
      </c>
      <c r="J24" s="112">
        <f>IF(E24&gt;0,HLOOKUP(E24,Inputs!$H$6:$O$9,$I24+$K$18,FALSE),)</f>
        <v>0</v>
      </c>
      <c r="K24" s="112">
        <f>IF(F24&gt;0,HLOOKUP(F24,Inputs!$H$6:$O$9,$I24+$K$18,FALSE),)</f>
        <v>0</v>
      </c>
      <c r="L24" s="107">
        <f>C24*UL_ratio*UL_Qm*UL_f*UL_Rmax*(1-UL_OH)*Subcarriers*Symbols*(2^I24)*(J24+K24)/1000</f>
        <v>0</v>
      </c>
      <c r="M24" s="122">
        <f>((D24*12*J24)+(D24*12*K24))/1000</f>
        <v>0</v>
      </c>
      <c r="N24" s="152" t="str">
        <f>IF(L24&gt;0,L24/(M24*C24*UL_ratio),"")</f>
        <v/>
      </c>
      <c r="O24" s="123">
        <f>IF(UL_scale="Yes",UL_NormBW*UL_NormLayers/(M24*C24),1)</f>
        <v>1</v>
      </c>
      <c r="P24" s="117">
        <f>HLOOKUP(P$19,Inputs!$B$65:$G$80,UL_scenario_offset+$A24,FALSE)</f>
        <v>0</v>
      </c>
    </row>
    <row r="25" spans="1:26" ht="17" thickBot="1" x14ac:dyDescent="0.25">
      <c r="A25" s="65"/>
      <c r="G25" s="167" t="str">
        <f>B20</f>
        <v>Scenario 1</v>
      </c>
      <c r="H25" s="168"/>
      <c r="I25" s="169"/>
      <c r="J25" s="167" t="str">
        <f>B21</f>
        <v>Scenario 2</v>
      </c>
      <c r="K25" s="168"/>
      <c r="L25" s="169"/>
      <c r="M25" s="167" t="str">
        <f>B22</f>
        <v>Scenario 3</v>
      </c>
      <c r="N25" s="168"/>
      <c r="O25" s="169"/>
      <c r="P25" s="167" t="str">
        <f>B23</f>
        <v>Scenario 4</v>
      </c>
      <c r="Q25" s="168"/>
      <c r="R25" s="169"/>
      <c r="S25" s="167" t="str">
        <f>B24</f>
        <v>Scenario 5</v>
      </c>
      <c r="T25" s="168"/>
      <c r="U25" s="168"/>
      <c r="V25" s="178" t="s">
        <v>208</v>
      </c>
      <c r="W25" s="179"/>
      <c r="X25" s="179"/>
      <c r="Y25" s="179"/>
      <c r="Z25" s="180"/>
    </row>
    <row r="26" spans="1:26" ht="145.25" customHeight="1" thickBot="1" x14ac:dyDescent="0.25">
      <c r="C26" s="29" t="s">
        <v>22</v>
      </c>
      <c r="D26" s="32" t="s">
        <v>11</v>
      </c>
      <c r="E26" s="29" t="s">
        <v>165</v>
      </c>
      <c r="F26" s="32" t="s">
        <v>164</v>
      </c>
      <c r="G26" s="34" t="s">
        <v>138</v>
      </c>
      <c r="H26" s="33" t="s">
        <v>137</v>
      </c>
      <c r="I26" s="135" t="str">
        <f>INDEX(Inputs!$B$65:$G$80,UL_scenario_offset+$A20,1)</f>
        <v>40 MHz TDD 2x2 SU-MIMO</v>
      </c>
      <c r="J26" s="34" t="s">
        <v>138</v>
      </c>
      <c r="K26" s="33" t="s">
        <v>137</v>
      </c>
      <c r="L26" s="135" t="str">
        <f>INDEX(Inputs!$B$65:$G$80,UL_scenario_offset+$A21,1)</f>
        <v>50 MHz TDD 2x2 SU-MIMO</v>
      </c>
      <c r="M26" s="34" t="s">
        <v>138</v>
      </c>
      <c r="N26" s="33" t="s">
        <v>137</v>
      </c>
      <c r="O26" s="135" t="str">
        <f>INDEX(Inputs!$B$65:$G$80,UL_scenario_offset+$A22,1)</f>
        <v>80 MHz TDD 2x2 SU-MIMO</v>
      </c>
      <c r="P26" s="34" t="s">
        <v>138</v>
      </c>
      <c r="Q26" s="33" t="s">
        <v>137</v>
      </c>
      <c r="R26" s="135" t="str">
        <f>INDEX(Inputs!$B$65:$G$80,UL_scenario_offset+$A23,1)</f>
        <v>100 MHz TDD 2x2 SU-MIMO</v>
      </c>
      <c r="S26" s="34" t="s">
        <v>138</v>
      </c>
      <c r="T26" s="33" t="s">
        <v>137</v>
      </c>
      <c r="U26" s="135">
        <f>INDEX(Inputs!$B$65:$G$80,UL_scenario_offset+$A24,1)</f>
        <v>0</v>
      </c>
      <c r="V26" s="143" t="str">
        <f>IF($D$11="yes",B11,"service 1")</f>
        <v>Mobile broadband live video; Cloud computer games for connected vehicles with 4K 3D graphics</v>
      </c>
      <c r="W26" s="144" t="str">
        <f>IF($D$12="yes",B12,"service 2")</f>
        <v>service 2</v>
      </c>
      <c r="X26" s="144" t="str">
        <f>IF($D$13="yes",B13,"service 3")</f>
        <v>Connectivity for drones</v>
      </c>
      <c r="Y26" s="144" t="str">
        <f>IF($D$14="yes",B14,"service 4")</f>
        <v>service 4</v>
      </c>
      <c r="Z26" s="142" t="str">
        <f>IF($D$15="yes",B15,"service 5")</f>
        <v>service 5</v>
      </c>
    </row>
    <row r="27" spans="1:26" ht="17" thickBot="1" x14ac:dyDescent="0.25">
      <c r="C27" s="82">
        <v>-10</v>
      </c>
      <c r="D27" s="107">
        <f t="shared" ref="D27:D67" si="1">UL_EIRP-(C27+UL_NormNoise)+UL_Rxgain</f>
        <v>169.06504856527977</v>
      </c>
      <c r="E27" s="133">
        <f t="shared" ref="E27:E67" si="2">IF(UL_Plot=$C$26,C27,IF($C$7=$D$26,D27,0))</f>
        <v>-10</v>
      </c>
      <c r="F27" s="134">
        <f t="shared" ref="F27:F67" si="3">10^(C27/10)</f>
        <v>0.1</v>
      </c>
      <c r="G27" s="136">
        <f t="shared" ref="G27:G67" si="4">UL_alpha*LOG(1 +(F27*$O$20),2)</f>
        <v>7.5626938062464261E-2</v>
      </c>
      <c r="H27" s="137">
        <f t="shared" ref="H27:H67" si="5">IF(G27&lt;=$N$20,G27,$N$20)</f>
        <v>7.5626938062464261E-2</v>
      </c>
      <c r="I27" s="138">
        <f t="shared" ref="I27:I67" si="6">$H27*$G$20*$M$20*$C$20*UL_ratio</f>
        <v>1.4429619782318179</v>
      </c>
      <c r="J27" s="136">
        <f t="shared" ref="J27:J67" si="7">UL_alpha*LOG(1 +(F27*$O$21),2)</f>
        <v>7.5626938062464261E-2</v>
      </c>
      <c r="K27" s="137">
        <f t="shared" ref="K27:K67" si="8">IF(J27&lt;=$N$21,J27,$N$20)</f>
        <v>7.5626938062464261E-2</v>
      </c>
      <c r="L27" s="138">
        <f t="shared" ref="L27:L67" si="9">$K27*$G$21*$M$21*$C$21*UL_ratio</f>
        <v>1.8105088972153944</v>
      </c>
      <c r="M27" s="136">
        <f t="shared" ref="M27:M67" si="10">UL_alpha*LOG(1 +(F27*$O$22),2)</f>
        <v>7.5626938062464261E-2</v>
      </c>
      <c r="N27" s="137">
        <f t="shared" ref="N27:N67" si="11">IF(M27&lt;=$N$20,M27,$N$20)</f>
        <v>7.5626938062464261E-2</v>
      </c>
      <c r="O27" s="138">
        <f t="shared" ref="O27:O67" si="12">$N27*$G$22*$M$22*$C$22*UL_ratio</f>
        <v>2.9539882007198544</v>
      </c>
      <c r="P27" s="136">
        <f t="shared" ref="P27:P67" si="13">UL_alpha*LOG(1 +(F27*$O$23),2)</f>
        <v>7.5626938062464261E-2</v>
      </c>
      <c r="Q27" s="137">
        <f t="shared" ref="Q27:Q67" si="14">IF(P27&lt;=$N$20,P27,$N$20)</f>
        <v>7.5626938062464261E-2</v>
      </c>
      <c r="R27" s="138">
        <f t="shared" ref="R27:R67" si="15">$Q27*$G$23*$M$23*$C$23*UL_ratio</f>
        <v>3.7163077363894939</v>
      </c>
      <c r="S27" s="136">
        <f t="shared" ref="S27:S67" si="16">UL_alpha*LOG(1 +(F27*$O$24),2)</f>
        <v>7.5626938062464261E-2</v>
      </c>
      <c r="T27" s="137">
        <f t="shared" ref="T27:T67" si="17">IF(S27&lt;=$N$20,S27,$N$20)</f>
        <v>7.5626938062464261E-2</v>
      </c>
      <c r="U27" s="138">
        <f t="shared" ref="U27:U67" si="18">$T27*$G$24*$M$24*$C$24*UL_ratio</f>
        <v>0</v>
      </c>
      <c r="V27" s="143">
        <f t="shared" ref="V27:V67" si="19">IF($D$11="yes",$C$11,"")</f>
        <v>50</v>
      </c>
      <c r="W27" s="144" t="str">
        <f t="shared" ref="W27:W67" si="20">IF($D$12="yes",$C$12,"")</f>
        <v/>
      </c>
      <c r="X27" s="144">
        <f t="shared" ref="X27:X67" si="21">IF($D$13="yes",$C$13,"")</f>
        <v>20</v>
      </c>
      <c r="Y27" s="144" t="str">
        <f t="shared" ref="Y27:Y67" si="22">IF($D$14="yes",$C$14,"")</f>
        <v/>
      </c>
      <c r="Z27" s="142" t="str">
        <f t="shared" ref="Z27:Z67" si="23">IF($D$15="yes",$C$15,"")</f>
        <v/>
      </c>
    </row>
    <row r="28" spans="1:26" ht="17" thickBot="1" x14ac:dyDescent="0.25">
      <c r="C28" s="82">
        <v>-9</v>
      </c>
      <c r="D28" s="107">
        <f t="shared" si="1"/>
        <v>168.06504856527977</v>
      </c>
      <c r="E28" s="133">
        <f t="shared" si="2"/>
        <v>-9</v>
      </c>
      <c r="F28" s="134">
        <f t="shared" si="3"/>
        <v>0.12589254117941667</v>
      </c>
      <c r="G28" s="136">
        <f t="shared" si="4"/>
        <v>9.4088026182918824E-2</v>
      </c>
      <c r="H28" s="137">
        <f t="shared" si="5"/>
        <v>9.4088026182918824E-2</v>
      </c>
      <c r="I28" s="138">
        <f t="shared" si="6"/>
        <v>1.795199539570091</v>
      </c>
      <c r="J28" s="136">
        <f t="shared" si="7"/>
        <v>9.4088026182918824E-2</v>
      </c>
      <c r="K28" s="137">
        <f t="shared" si="8"/>
        <v>9.4088026182918824E-2</v>
      </c>
      <c r="L28" s="138">
        <f t="shared" si="9"/>
        <v>2.2524673468190768</v>
      </c>
      <c r="M28" s="136">
        <f t="shared" si="10"/>
        <v>9.4088026182918824E-2</v>
      </c>
      <c r="N28" s="137">
        <f t="shared" si="11"/>
        <v>9.4088026182918824E-2</v>
      </c>
      <c r="O28" s="138">
        <f t="shared" si="12"/>
        <v>3.6750783027048093</v>
      </c>
      <c r="P28" s="136">
        <f t="shared" si="13"/>
        <v>9.4088026182918824E-2</v>
      </c>
      <c r="Q28" s="137">
        <f t="shared" si="14"/>
        <v>9.4088026182918824E-2</v>
      </c>
      <c r="R28" s="138">
        <f t="shared" si="15"/>
        <v>4.6234856066286314</v>
      </c>
      <c r="S28" s="136">
        <f t="shared" si="16"/>
        <v>9.4088026182918824E-2</v>
      </c>
      <c r="T28" s="137">
        <f t="shared" si="17"/>
        <v>9.4088026182918824E-2</v>
      </c>
      <c r="U28" s="138">
        <f t="shared" si="18"/>
        <v>0</v>
      </c>
      <c r="V28" s="143">
        <f t="shared" si="19"/>
        <v>50</v>
      </c>
      <c r="W28" s="144" t="str">
        <f t="shared" si="20"/>
        <v/>
      </c>
      <c r="X28" s="144">
        <f t="shared" si="21"/>
        <v>20</v>
      </c>
      <c r="Y28" s="144" t="str">
        <f t="shared" si="22"/>
        <v/>
      </c>
      <c r="Z28" s="142" t="str">
        <f t="shared" si="23"/>
        <v/>
      </c>
    </row>
    <row r="29" spans="1:26" ht="17" thickBot="1" x14ac:dyDescent="0.25">
      <c r="C29" s="82">
        <v>-8</v>
      </c>
      <c r="D29" s="107">
        <f t="shared" si="1"/>
        <v>167.06504856527977</v>
      </c>
      <c r="E29" s="133">
        <f t="shared" si="2"/>
        <v>-8</v>
      </c>
      <c r="F29" s="134">
        <f t="shared" si="3"/>
        <v>0.15848931924611132</v>
      </c>
      <c r="G29" s="136">
        <f t="shared" si="4"/>
        <v>0.11673460879321733</v>
      </c>
      <c r="H29" s="137">
        <f t="shared" si="5"/>
        <v>0.11673460879321733</v>
      </c>
      <c r="I29" s="138">
        <f t="shared" si="6"/>
        <v>2.2272963357745863</v>
      </c>
      <c r="J29" s="136">
        <f t="shared" si="7"/>
        <v>0.11673460879321733</v>
      </c>
      <c r="K29" s="137">
        <f t="shared" si="8"/>
        <v>0.11673460879321733</v>
      </c>
      <c r="L29" s="138">
        <f t="shared" si="9"/>
        <v>2.7946265345096228</v>
      </c>
      <c r="M29" s="136">
        <f t="shared" si="10"/>
        <v>0.11673460879321733</v>
      </c>
      <c r="N29" s="137">
        <f t="shared" si="11"/>
        <v>0.11673460879321733</v>
      </c>
      <c r="O29" s="138">
        <f t="shared" si="12"/>
        <v>4.5596538194630689</v>
      </c>
      <c r="P29" s="136">
        <f t="shared" si="13"/>
        <v>0.11673460879321733</v>
      </c>
      <c r="Q29" s="137">
        <f t="shared" si="14"/>
        <v>0.11673460879321733</v>
      </c>
      <c r="R29" s="138">
        <f t="shared" si="15"/>
        <v>5.7363386760986996</v>
      </c>
      <c r="S29" s="136">
        <f t="shared" si="16"/>
        <v>0.11673460879321733</v>
      </c>
      <c r="T29" s="137">
        <f t="shared" si="17"/>
        <v>0.11673460879321733</v>
      </c>
      <c r="U29" s="138">
        <f t="shared" si="18"/>
        <v>0</v>
      </c>
      <c r="V29" s="143">
        <f t="shared" si="19"/>
        <v>50</v>
      </c>
      <c r="W29" s="144" t="str">
        <f t="shared" si="20"/>
        <v/>
      </c>
      <c r="X29" s="144">
        <f t="shared" si="21"/>
        <v>20</v>
      </c>
      <c r="Y29" s="144" t="str">
        <f t="shared" si="22"/>
        <v/>
      </c>
      <c r="Z29" s="142" t="str">
        <f t="shared" si="23"/>
        <v/>
      </c>
    </row>
    <row r="30" spans="1:26" ht="17" thickBot="1" x14ac:dyDescent="0.25">
      <c r="C30" s="82">
        <v>-7</v>
      </c>
      <c r="D30" s="107">
        <f t="shared" si="1"/>
        <v>166.06504856527977</v>
      </c>
      <c r="E30" s="133">
        <f t="shared" si="2"/>
        <v>-7</v>
      </c>
      <c r="F30" s="134">
        <f t="shared" si="3"/>
        <v>0.19952623149688795</v>
      </c>
      <c r="G30" s="136">
        <f t="shared" si="4"/>
        <v>0.14435558892748274</v>
      </c>
      <c r="H30" s="137">
        <f t="shared" si="5"/>
        <v>0.14435558892748274</v>
      </c>
      <c r="I30" s="138">
        <f t="shared" si="6"/>
        <v>2.7543046367363702</v>
      </c>
      <c r="J30" s="136">
        <f t="shared" si="7"/>
        <v>0.14435558892748274</v>
      </c>
      <c r="K30" s="137">
        <f t="shared" si="8"/>
        <v>0.14435558892748274</v>
      </c>
      <c r="L30" s="138">
        <f t="shared" si="9"/>
        <v>3.4558727989239371</v>
      </c>
      <c r="M30" s="136">
        <f t="shared" si="10"/>
        <v>0.14435558892748274</v>
      </c>
      <c r="N30" s="137">
        <f t="shared" si="11"/>
        <v>0.14435558892748274</v>
      </c>
      <c r="O30" s="138">
        <f t="shared" si="12"/>
        <v>5.6385293035074762</v>
      </c>
      <c r="P30" s="136">
        <f t="shared" si="13"/>
        <v>0.14435558892748274</v>
      </c>
      <c r="Q30" s="137">
        <f t="shared" si="14"/>
        <v>0.14435558892748274</v>
      </c>
      <c r="R30" s="138">
        <f t="shared" si="15"/>
        <v>7.0936336398965016</v>
      </c>
      <c r="S30" s="136">
        <f t="shared" si="16"/>
        <v>0.14435558892748274</v>
      </c>
      <c r="T30" s="137">
        <f t="shared" si="17"/>
        <v>0.14435558892748274</v>
      </c>
      <c r="U30" s="138">
        <f t="shared" si="18"/>
        <v>0</v>
      </c>
      <c r="V30" s="143">
        <f t="shared" si="19"/>
        <v>50</v>
      </c>
      <c r="W30" s="144" t="str">
        <f t="shared" si="20"/>
        <v/>
      </c>
      <c r="X30" s="144">
        <f t="shared" si="21"/>
        <v>20</v>
      </c>
      <c r="Y30" s="144" t="str">
        <f t="shared" si="22"/>
        <v/>
      </c>
      <c r="Z30" s="142" t="str">
        <f t="shared" si="23"/>
        <v/>
      </c>
    </row>
    <row r="31" spans="1:26" ht="17" thickBot="1" x14ac:dyDescent="0.25">
      <c r="C31" s="82">
        <v>-6</v>
      </c>
      <c r="D31" s="107">
        <f t="shared" si="1"/>
        <v>165.06504856527977</v>
      </c>
      <c r="E31" s="133">
        <f t="shared" si="2"/>
        <v>-6</v>
      </c>
      <c r="F31" s="134">
        <f t="shared" si="3"/>
        <v>0.25118864315095801</v>
      </c>
      <c r="G31" s="136">
        <f t="shared" si="4"/>
        <v>0.17781462748161336</v>
      </c>
      <c r="H31" s="137">
        <f t="shared" si="5"/>
        <v>0.17781462748161336</v>
      </c>
      <c r="I31" s="138">
        <f t="shared" si="6"/>
        <v>3.3927030923491825</v>
      </c>
      <c r="J31" s="136">
        <f t="shared" si="7"/>
        <v>0.17781462748161336</v>
      </c>
      <c r="K31" s="137">
        <f t="shared" si="8"/>
        <v>0.17781462748161336</v>
      </c>
      <c r="L31" s="138">
        <f t="shared" si="9"/>
        <v>4.2568821819098241</v>
      </c>
      <c r="M31" s="136">
        <f t="shared" si="10"/>
        <v>0.17781462748161336</v>
      </c>
      <c r="N31" s="137">
        <f t="shared" si="11"/>
        <v>0.17781462748161336</v>
      </c>
      <c r="O31" s="138">
        <f t="shared" si="12"/>
        <v>6.9454393494318181</v>
      </c>
      <c r="P31" s="136">
        <f t="shared" si="13"/>
        <v>0.17781462748161336</v>
      </c>
      <c r="Q31" s="137">
        <f t="shared" si="14"/>
        <v>0.17781462748161336</v>
      </c>
      <c r="R31" s="138">
        <f t="shared" si="15"/>
        <v>8.7378107944464816</v>
      </c>
      <c r="S31" s="136">
        <f t="shared" si="16"/>
        <v>0.17781462748161336</v>
      </c>
      <c r="T31" s="137">
        <f t="shared" si="17"/>
        <v>0.17781462748161336</v>
      </c>
      <c r="U31" s="138">
        <f t="shared" si="18"/>
        <v>0</v>
      </c>
      <c r="V31" s="143">
        <f t="shared" si="19"/>
        <v>50</v>
      </c>
      <c r="W31" s="144" t="str">
        <f t="shared" si="20"/>
        <v/>
      </c>
      <c r="X31" s="144">
        <f t="shared" si="21"/>
        <v>20</v>
      </c>
      <c r="Y31" s="144" t="str">
        <f t="shared" si="22"/>
        <v/>
      </c>
      <c r="Z31" s="142" t="str">
        <f t="shared" si="23"/>
        <v/>
      </c>
    </row>
    <row r="32" spans="1:26" ht="17" thickBot="1" x14ac:dyDescent="0.25">
      <c r="C32" s="82">
        <v>-5</v>
      </c>
      <c r="D32" s="107">
        <f t="shared" si="1"/>
        <v>164.06504856527977</v>
      </c>
      <c r="E32" s="133">
        <f t="shared" si="2"/>
        <v>-5</v>
      </c>
      <c r="F32" s="134">
        <f t="shared" si="3"/>
        <v>0.31622776601683794</v>
      </c>
      <c r="G32" s="136">
        <f t="shared" si="4"/>
        <v>0.21802503863971262</v>
      </c>
      <c r="H32" s="137">
        <f t="shared" si="5"/>
        <v>0.21802503863971262</v>
      </c>
      <c r="I32" s="138">
        <f t="shared" si="6"/>
        <v>4.1599177372457161</v>
      </c>
      <c r="J32" s="136">
        <f t="shared" si="7"/>
        <v>0.21802503863971262</v>
      </c>
      <c r="K32" s="137">
        <f t="shared" si="8"/>
        <v>0.21802503863971262</v>
      </c>
      <c r="L32" s="138">
        <f t="shared" si="9"/>
        <v>5.2195194250347203</v>
      </c>
      <c r="M32" s="136">
        <f t="shared" si="10"/>
        <v>0.21802503863971262</v>
      </c>
      <c r="N32" s="137">
        <f t="shared" si="11"/>
        <v>0.21802503863971262</v>
      </c>
      <c r="O32" s="138">
        <f t="shared" si="12"/>
        <v>8.5160580092671747</v>
      </c>
      <c r="P32" s="136">
        <f t="shared" si="13"/>
        <v>0.21802503863971262</v>
      </c>
      <c r="Q32" s="137">
        <f t="shared" si="14"/>
        <v>0.21802503863971262</v>
      </c>
      <c r="R32" s="138">
        <f t="shared" si="15"/>
        <v>10.713750398755478</v>
      </c>
      <c r="S32" s="136">
        <f t="shared" si="16"/>
        <v>0.21802503863971262</v>
      </c>
      <c r="T32" s="137">
        <f t="shared" si="17"/>
        <v>0.21802503863971262</v>
      </c>
      <c r="U32" s="138">
        <f t="shared" si="18"/>
        <v>0</v>
      </c>
      <c r="V32" s="143">
        <f t="shared" si="19"/>
        <v>50</v>
      </c>
      <c r="W32" s="144" t="str">
        <f t="shared" si="20"/>
        <v/>
      </c>
      <c r="X32" s="144">
        <f t="shared" si="21"/>
        <v>20</v>
      </c>
      <c r="Y32" s="144" t="str">
        <f t="shared" si="22"/>
        <v/>
      </c>
      <c r="Z32" s="142" t="str">
        <f t="shared" si="23"/>
        <v/>
      </c>
    </row>
    <row r="33" spans="3:26" ht="17" thickBot="1" x14ac:dyDescent="0.25">
      <c r="C33" s="82">
        <v>-4</v>
      </c>
      <c r="D33" s="107">
        <f t="shared" si="1"/>
        <v>163.06504856527977</v>
      </c>
      <c r="E33" s="133">
        <f t="shared" si="2"/>
        <v>-4</v>
      </c>
      <c r="F33" s="134">
        <f t="shared" si="3"/>
        <v>0.3981071705534972</v>
      </c>
      <c r="G33" s="136">
        <f t="shared" si="4"/>
        <v>0.26591122434012415</v>
      </c>
      <c r="H33" s="137">
        <f t="shared" si="5"/>
        <v>0.26591122434012415</v>
      </c>
      <c r="I33" s="138">
        <f t="shared" si="6"/>
        <v>5.073586160409568</v>
      </c>
      <c r="J33" s="136">
        <f t="shared" si="7"/>
        <v>0.26591122434012415</v>
      </c>
      <c r="K33" s="137">
        <f t="shared" si="8"/>
        <v>0.26591122434012415</v>
      </c>
      <c r="L33" s="138">
        <f t="shared" si="9"/>
        <v>6.3659147107025724</v>
      </c>
      <c r="M33" s="136">
        <f t="shared" si="10"/>
        <v>0.26591122434012415</v>
      </c>
      <c r="N33" s="137">
        <f t="shared" si="11"/>
        <v>0.26591122434012415</v>
      </c>
      <c r="O33" s="138">
        <f t="shared" si="12"/>
        <v>10.386492422725251</v>
      </c>
      <c r="P33" s="136">
        <f t="shared" si="13"/>
        <v>0.26591122434012415</v>
      </c>
      <c r="Q33" s="137">
        <f t="shared" si="14"/>
        <v>0.26591122434012415</v>
      </c>
      <c r="R33" s="138">
        <f t="shared" si="15"/>
        <v>13.066877564073701</v>
      </c>
      <c r="S33" s="136">
        <f t="shared" si="16"/>
        <v>0.26591122434012415</v>
      </c>
      <c r="T33" s="137">
        <f t="shared" si="17"/>
        <v>0.26591122434012415</v>
      </c>
      <c r="U33" s="138">
        <f t="shared" si="18"/>
        <v>0</v>
      </c>
      <c r="V33" s="143">
        <f t="shared" si="19"/>
        <v>50</v>
      </c>
      <c r="W33" s="144" t="str">
        <f t="shared" si="20"/>
        <v/>
      </c>
      <c r="X33" s="144">
        <f t="shared" si="21"/>
        <v>20</v>
      </c>
      <c r="Y33" s="144" t="str">
        <f t="shared" si="22"/>
        <v/>
      </c>
      <c r="Z33" s="142" t="str">
        <f t="shared" si="23"/>
        <v/>
      </c>
    </row>
    <row r="34" spans="3:26" ht="17" thickBot="1" x14ac:dyDescent="0.25">
      <c r="C34" s="82">
        <v>-3</v>
      </c>
      <c r="D34" s="107">
        <f t="shared" si="1"/>
        <v>162.06504856527977</v>
      </c>
      <c r="E34" s="133">
        <f t="shared" si="2"/>
        <v>-3</v>
      </c>
      <c r="F34" s="134">
        <f t="shared" si="3"/>
        <v>0.50118723362727224</v>
      </c>
      <c r="G34" s="136">
        <f t="shared" si="4"/>
        <v>0.32235715954494115</v>
      </c>
      <c r="H34" s="137">
        <f t="shared" si="5"/>
        <v>0.32235715954494115</v>
      </c>
      <c r="I34" s="138">
        <f t="shared" si="6"/>
        <v>6.1505746041174767</v>
      </c>
      <c r="J34" s="136">
        <f t="shared" si="7"/>
        <v>0.32235715954494115</v>
      </c>
      <c r="K34" s="137">
        <f t="shared" si="8"/>
        <v>0.32235715954494115</v>
      </c>
      <c r="L34" s="138">
        <f t="shared" si="9"/>
        <v>7.7172303995058913</v>
      </c>
      <c r="M34" s="136">
        <f t="shared" si="10"/>
        <v>0.32235715954494115</v>
      </c>
      <c r="N34" s="137">
        <f t="shared" si="11"/>
        <v>0.32235715954494115</v>
      </c>
      <c r="O34" s="138">
        <f t="shared" si="12"/>
        <v>12.591270651825402</v>
      </c>
      <c r="P34" s="136">
        <f t="shared" si="13"/>
        <v>0.32235715954494115</v>
      </c>
      <c r="Q34" s="137">
        <f t="shared" si="14"/>
        <v>0.32235715954494115</v>
      </c>
      <c r="R34" s="138">
        <f t="shared" si="15"/>
        <v>15.840630820038408</v>
      </c>
      <c r="S34" s="136">
        <f t="shared" si="16"/>
        <v>0.32235715954494115</v>
      </c>
      <c r="T34" s="137">
        <f t="shared" si="17"/>
        <v>0.32235715954494115</v>
      </c>
      <c r="U34" s="138">
        <f t="shared" si="18"/>
        <v>0</v>
      </c>
      <c r="V34" s="143">
        <f t="shared" si="19"/>
        <v>50</v>
      </c>
      <c r="W34" s="144" t="str">
        <f t="shared" si="20"/>
        <v/>
      </c>
      <c r="X34" s="144">
        <f t="shared" si="21"/>
        <v>20</v>
      </c>
      <c r="Y34" s="144" t="str">
        <f t="shared" si="22"/>
        <v/>
      </c>
      <c r="Z34" s="142" t="str">
        <f t="shared" si="23"/>
        <v/>
      </c>
    </row>
    <row r="35" spans="3:26" ht="17" thickBot="1" x14ac:dyDescent="0.25">
      <c r="C35" s="82">
        <v>-2</v>
      </c>
      <c r="D35" s="107">
        <f t="shared" si="1"/>
        <v>161.06504856527977</v>
      </c>
      <c r="E35" s="133">
        <f t="shared" si="2"/>
        <v>-2</v>
      </c>
      <c r="F35" s="134">
        <f t="shared" si="3"/>
        <v>0.63095734448019325</v>
      </c>
      <c r="G35" s="136">
        <f t="shared" si="4"/>
        <v>0.38814547792543252</v>
      </c>
      <c r="H35" s="137">
        <f t="shared" si="5"/>
        <v>0.38814547792543252</v>
      </c>
      <c r="I35" s="138">
        <f t="shared" si="6"/>
        <v>7.4058157188172515</v>
      </c>
      <c r="J35" s="136">
        <f t="shared" si="7"/>
        <v>0.38814547792543252</v>
      </c>
      <c r="K35" s="137">
        <f t="shared" si="8"/>
        <v>0.38814547792543252</v>
      </c>
      <c r="L35" s="138">
        <f t="shared" si="9"/>
        <v>9.2922027415348545</v>
      </c>
      <c r="M35" s="136">
        <f t="shared" si="10"/>
        <v>0.38814547792543252</v>
      </c>
      <c r="N35" s="137">
        <f t="shared" si="11"/>
        <v>0.38814547792543252</v>
      </c>
      <c r="O35" s="138">
        <f t="shared" si="12"/>
        <v>15.160962367767395</v>
      </c>
      <c r="P35" s="136">
        <f t="shared" si="13"/>
        <v>0.38814547792543252</v>
      </c>
      <c r="Q35" s="137">
        <f t="shared" si="14"/>
        <v>0.38814547792543252</v>
      </c>
      <c r="R35" s="138">
        <f t="shared" si="15"/>
        <v>19.073468785255756</v>
      </c>
      <c r="S35" s="136">
        <f t="shared" si="16"/>
        <v>0.38814547792543252</v>
      </c>
      <c r="T35" s="137">
        <f t="shared" si="17"/>
        <v>0.38814547792543252</v>
      </c>
      <c r="U35" s="138">
        <f t="shared" si="18"/>
        <v>0</v>
      </c>
      <c r="V35" s="143">
        <f t="shared" si="19"/>
        <v>50</v>
      </c>
      <c r="W35" s="144" t="str">
        <f t="shared" si="20"/>
        <v/>
      </c>
      <c r="X35" s="144">
        <f t="shared" si="21"/>
        <v>20</v>
      </c>
      <c r="Y35" s="144" t="str">
        <f t="shared" si="22"/>
        <v/>
      </c>
      <c r="Z35" s="142" t="str">
        <f t="shared" si="23"/>
        <v/>
      </c>
    </row>
    <row r="36" spans="3:26" ht="17" thickBot="1" x14ac:dyDescent="0.25">
      <c r="C36" s="82">
        <v>-1</v>
      </c>
      <c r="D36" s="107">
        <f t="shared" si="1"/>
        <v>160.06504856527977</v>
      </c>
      <c r="E36" s="133">
        <f t="shared" si="2"/>
        <v>-1</v>
      </c>
      <c r="F36" s="134">
        <f t="shared" si="3"/>
        <v>0.79432823472428149</v>
      </c>
      <c r="G36" s="136">
        <f t="shared" si="4"/>
        <v>0.46389410386200891</v>
      </c>
      <c r="H36" s="137">
        <f t="shared" si="5"/>
        <v>0.46389410386200891</v>
      </c>
      <c r="I36" s="138">
        <f t="shared" si="6"/>
        <v>8.8510995016871288</v>
      </c>
      <c r="J36" s="136">
        <f t="shared" si="7"/>
        <v>0.46389410386200891</v>
      </c>
      <c r="K36" s="137">
        <f t="shared" si="8"/>
        <v>0.46389410386200891</v>
      </c>
      <c r="L36" s="138">
        <f t="shared" si="9"/>
        <v>11.105624846456493</v>
      </c>
      <c r="M36" s="136">
        <f t="shared" si="10"/>
        <v>0.46389410386200891</v>
      </c>
      <c r="N36" s="137">
        <f t="shared" si="11"/>
        <v>0.46389410386200891</v>
      </c>
      <c r="O36" s="138">
        <f t="shared" si="12"/>
        <v>18.11970369685007</v>
      </c>
      <c r="P36" s="136">
        <f t="shared" si="13"/>
        <v>0.46389410386200891</v>
      </c>
      <c r="Q36" s="137">
        <f t="shared" si="14"/>
        <v>0.46389410386200891</v>
      </c>
      <c r="R36" s="138">
        <f t="shared" si="15"/>
        <v>22.795756263779118</v>
      </c>
      <c r="S36" s="136">
        <f t="shared" si="16"/>
        <v>0.46389410386200891</v>
      </c>
      <c r="T36" s="137">
        <f t="shared" si="17"/>
        <v>0.46389410386200891</v>
      </c>
      <c r="U36" s="138">
        <f t="shared" si="18"/>
        <v>0</v>
      </c>
      <c r="V36" s="143">
        <f t="shared" si="19"/>
        <v>50</v>
      </c>
      <c r="W36" s="144" t="str">
        <f t="shared" si="20"/>
        <v/>
      </c>
      <c r="X36" s="144">
        <f t="shared" si="21"/>
        <v>20</v>
      </c>
      <c r="Y36" s="144" t="str">
        <f t="shared" si="22"/>
        <v/>
      </c>
      <c r="Z36" s="142" t="str">
        <f t="shared" si="23"/>
        <v/>
      </c>
    </row>
    <row r="37" spans="3:26" ht="17" thickBot="1" x14ac:dyDescent="0.25">
      <c r="C37" s="82">
        <v>0</v>
      </c>
      <c r="D37" s="107">
        <f t="shared" si="1"/>
        <v>159.06504856527977</v>
      </c>
      <c r="E37" s="133">
        <f t="shared" si="2"/>
        <v>0</v>
      </c>
      <c r="F37" s="134">
        <f t="shared" si="3"/>
        <v>1</v>
      </c>
      <c r="G37" s="136">
        <f t="shared" si="4"/>
        <v>0.55000000000000004</v>
      </c>
      <c r="H37" s="137">
        <f t="shared" si="5"/>
        <v>0.55000000000000004</v>
      </c>
      <c r="I37" s="138">
        <f t="shared" si="6"/>
        <v>10.494</v>
      </c>
      <c r="J37" s="136">
        <f t="shared" si="7"/>
        <v>0.55000000000000004</v>
      </c>
      <c r="K37" s="137">
        <f t="shared" si="8"/>
        <v>0.55000000000000004</v>
      </c>
      <c r="L37" s="138">
        <f t="shared" si="9"/>
        <v>13.167000000000002</v>
      </c>
      <c r="M37" s="136">
        <f t="shared" si="10"/>
        <v>0.55000000000000004</v>
      </c>
      <c r="N37" s="137">
        <f t="shared" si="11"/>
        <v>0.55000000000000004</v>
      </c>
      <c r="O37" s="138">
        <f t="shared" si="12"/>
        <v>21.483000000000004</v>
      </c>
      <c r="P37" s="136">
        <f t="shared" si="13"/>
        <v>0.55000000000000004</v>
      </c>
      <c r="Q37" s="137">
        <f t="shared" si="14"/>
        <v>0.55000000000000004</v>
      </c>
      <c r="R37" s="138">
        <f t="shared" si="15"/>
        <v>27.027000000000001</v>
      </c>
      <c r="S37" s="136">
        <f t="shared" si="16"/>
        <v>0.55000000000000004</v>
      </c>
      <c r="T37" s="137">
        <f t="shared" si="17"/>
        <v>0.55000000000000004</v>
      </c>
      <c r="U37" s="138">
        <f t="shared" si="18"/>
        <v>0</v>
      </c>
      <c r="V37" s="143">
        <f t="shared" si="19"/>
        <v>50</v>
      </c>
      <c r="W37" s="144" t="str">
        <f t="shared" si="20"/>
        <v/>
      </c>
      <c r="X37" s="144">
        <f t="shared" si="21"/>
        <v>20</v>
      </c>
      <c r="Y37" s="144" t="str">
        <f t="shared" si="22"/>
        <v/>
      </c>
      <c r="Z37" s="142" t="str">
        <f t="shared" si="23"/>
        <v/>
      </c>
    </row>
    <row r="38" spans="3:26" ht="17" thickBot="1" x14ac:dyDescent="0.25">
      <c r="C38" s="82">
        <v>1</v>
      </c>
      <c r="D38" s="107">
        <f t="shared" si="1"/>
        <v>158.06504856527977</v>
      </c>
      <c r="E38" s="133">
        <f t="shared" si="2"/>
        <v>1</v>
      </c>
      <c r="F38" s="134">
        <f t="shared" si="3"/>
        <v>1.2589254117941673</v>
      </c>
      <c r="G38" s="136">
        <f t="shared" si="4"/>
        <v>0.64660014908081387</v>
      </c>
      <c r="H38" s="137">
        <f t="shared" si="5"/>
        <v>0.64660014908081387</v>
      </c>
      <c r="I38" s="138">
        <f t="shared" si="6"/>
        <v>12.337130844461928</v>
      </c>
      <c r="J38" s="136">
        <f t="shared" si="7"/>
        <v>0.64660014908081387</v>
      </c>
      <c r="K38" s="137">
        <f t="shared" si="8"/>
        <v>0.64660014908081387</v>
      </c>
      <c r="L38" s="138">
        <f t="shared" si="9"/>
        <v>15.479607568994686</v>
      </c>
      <c r="M38" s="136">
        <f t="shared" si="10"/>
        <v>0.64660014908081387</v>
      </c>
      <c r="N38" s="137">
        <f t="shared" si="11"/>
        <v>0.64660014908081387</v>
      </c>
      <c r="O38" s="138">
        <f t="shared" si="12"/>
        <v>25.256201823096593</v>
      </c>
      <c r="P38" s="136">
        <f t="shared" si="13"/>
        <v>0.64660014908081387</v>
      </c>
      <c r="Q38" s="137">
        <f t="shared" si="14"/>
        <v>0.64660014908081387</v>
      </c>
      <c r="R38" s="138">
        <f t="shared" si="15"/>
        <v>31.773931325831192</v>
      </c>
      <c r="S38" s="136">
        <f t="shared" si="16"/>
        <v>0.64660014908081387</v>
      </c>
      <c r="T38" s="137">
        <f t="shared" si="17"/>
        <v>0.64660014908081387</v>
      </c>
      <c r="U38" s="138">
        <f t="shared" si="18"/>
        <v>0</v>
      </c>
      <c r="V38" s="143">
        <f t="shared" si="19"/>
        <v>50</v>
      </c>
      <c r="W38" s="144" t="str">
        <f t="shared" si="20"/>
        <v/>
      </c>
      <c r="X38" s="144">
        <f t="shared" si="21"/>
        <v>20</v>
      </c>
      <c r="Y38" s="144" t="str">
        <f t="shared" si="22"/>
        <v/>
      </c>
      <c r="Z38" s="142" t="str">
        <f t="shared" si="23"/>
        <v/>
      </c>
    </row>
    <row r="39" spans="3:26" ht="17" thickBot="1" x14ac:dyDescent="0.25">
      <c r="C39" s="82">
        <v>2</v>
      </c>
      <c r="D39" s="107">
        <f t="shared" si="1"/>
        <v>157.06504856527977</v>
      </c>
      <c r="E39" s="133">
        <f t="shared" si="2"/>
        <v>2</v>
      </c>
      <c r="F39" s="134">
        <f t="shared" si="3"/>
        <v>1.5848931924611136</v>
      </c>
      <c r="G39" s="136">
        <f t="shared" si="4"/>
        <v>0.75355756836304244</v>
      </c>
      <c r="H39" s="137">
        <f t="shared" si="5"/>
        <v>0.75355756836304244</v>
      </c>
      <c r="I39" s="138">
        <f t="shared" si="6"/>
        <v>14.377878404366848</v>
      </c>
      <c r="J39" s="136">
        <f t="shared" si="7"/>
        <v>0.75355756836304244</v>
      </c>
      <c r="K39" s="137">
        <f t="shared" si="8"/>
        <v>0.75355756836304244</v>
      </c>
      <c r="L39" s="138">
        <f t="shared" si="9"/>
        <v>18.040168186611236</v>
      </c>
      <c r="M39" s="136">
        <f t="shared" si="10"/>
        <v>0.75355756836304244</v>
      </c>
      <c r="N39" s="137">
        <f t="shared" si="11"/>
        <v>0.75355756836304244</v>
      </c>
      <c r="O39" s="138">
        <f t="shared" si="12"/>
        <v>29.433958620260441</v>
      </c>
      <c r="P39" s="136">
        <f t="shared" si="13"/>
        <v>0.75355756836304244</v>
      </c>
      <c r="Q39" s="137">
        <f t="shared" si="14"/>
        <v>0.75355756836304244</v>
      </c>
      <c r="R39" s="138">
        <f t="shared" si="15"/>
        <v>37.029818909359904</v>
      </c>
      <c r="S39" s="136">
        <f t="shared" si="16"/>
        <v>0.75355756836304244</v>
      </c>
      <c r="T39" s="137">
        <f t="shared" si="17"/>
        <v>0.75355756836304244</v>
      </c>
      <c r="U39" s="138">
        <f t="shared" si="18"/>
        <v>0</v>
      </c>
      <c r="V39" s="143">
        <f t="shared" si="19"/>
        <v>50</v>
      </c>
      <c r="W39" s="144" t="str">
        <f t="shared" si="20"/>
        <v/>
      </c>
      <c r="X39" s="144">
        <f t="shared" si="21"/>
        <v>20</v>
      </c>
      <c r="Y39" s="144" t="str">
        <f t="shared" si="22"/>
        <v/>
      </c>
      <c r="Z39" s="142" t="str">
        <f t="shared" si="23"/>
        <v/>
      </c>
    </row>
    <row r="40" spans="3:26" ht="17" thickBot="1" x14ac:dyDescent="0.25">
      <c r="C40" s="82">
        <v>3</v>
      </c>
      <c r="D40" s="107">
        <f t="shared" si="1"/>
        <v>156.06504856527977</v>
      </c>
      <c r="E40" s="133">
        <f t="shared" si="2"/>
        <v>3</v>
      </c>
      <c r="F40" s="134">
        <f t="shared" si="3"/>
        <v>1.9952623149688797</v>
      </c>
      <c r="G40" s="136">
        <f t="shared" si="4"/>
        <v>0.87047529520135603</v>
      </c>
      <c r="H40" s="137">
        <f t="shared" si="5"/>
        <v>0.87047529520135603</v>
      </c>
      <c r="I40" s="138">
        <f t="shared" si="6"/>
        <v>16.608668632441873</v>
      </c>
      <c r="J40" s="136">
        <f t="shared" si="7"/>
        <v>0.87047529520135603</v>
      </c>
      <c r="K40" s="137">
        <f t="shared" si="8"/>
        <v>0.87047529520135603</v>
      </c>
      <c r="L40" s="138">
        <f t="shared" si="9"/>
        <v>20.839178567120463</v>
      </c>
      <c r="M40" s="136">
        <f t="shared" si="10"/>
        <v>0.87047529520135603</v>
      </c>
      <c r="N40" s="137">
        <f t="shared" si="11"/>
        <v>0.87047529520135603</v>
      </c>
      <c r="O40" s="138">
        <f t="shared" si="12"/>
        <v>34.00076503056497</v>
      </c>
      <c r="P40" s="136">
        <f t="shared" si="13"/>
        <v>0.87047529520135603</v>
      </c>
      <c r="Q40" s="137">
        <f t="shared" si="14"/>
        <v>0.87047529520135603</v>
      </c>
      <c r="R40" s="138">
        <f t="shared" si="15"/>
        <v>42.775156006194635</v>
      </c>
      <c r="S40" s="136">
        <f t="shared" si="16"/>
        <v>0.87047529520135603</v>
      </c>
      <c r="T40" s="137">
        <f t="shared" si="17"/>
        <v>0.87047529520135603</v>
      </c>
      <c r="U40" s="138">
        <f t="shared" si="18"/>
        <v>0</v>
      </c>
      <c r="V40" s="143">
        <f t="shared" si="19"/>
        <v>50</v>
      </c>
      <c r="W40" s="144" t="str">
        <f t="shared" si="20"/>
        <v/>
      </c>
      <c r="X40" s="144">
        <f t="shared" si="21"/>
        <v>20</v>
      </c>
      <c r="Y40" s="144" t="str">
        <f t="shared" si="22"/>
        <v/>
      </c>
      <c r="Z40" s="142" t="str">
        <f t="shared" si="23"/>
        <v/>
      </c>
    </row>
    <row r="41" spans="3:26" ht="17" thickBot="1" x14ac:dyDescent="0.25">
      <c r="C41" s="82">
        <v>4</v>
      </c>
      <c r="D41" s="107">
        <f t="shared" si="1"/>
        <v>155.06504856527977</v>
      </c>
      <c r="E41" s="133">
        <f t="shared" si="2"/>
        <v>4</v>
      </c>
      <c r="F41" s="134">
        <f t="shared" si="3"/>
        <v>2.5118864315095806</v>
      </c>
      <c r="G41" s="136">
        <f t="shared" si="4"/>
        <v>0.99673540521534421</v>
      </c>
      <c r="H41" s="137">
        <f t="shared" si="5"/>
        <v>0.99673540521534421</v>
      </c>
      <c r="I41" s="138">
        <f t="shared" si="6"/>
        <v>19.017711531508766</v>
      </c>
      <c r="J41" s="136">
        <f t="shared" si="7"/>
        <v>0.99673540521534421</v>
      </c>
      <c r="K41" s="137">
        <f t="shared" si="8"/>
        <v>0.99673540521534421</v>
      </c>
      <c r="L41" s="138">
        <f t="shared" si="9"/>
        <v>23.861845600855343</v>
      </c>
      <c r="M41" s="136">
        <f t="shared" si="10"/>
        <v>0.99673540521534421</v>
      </c>
      <c r="N41" s="137">
        <f t="shared" si="11"/>
        <v>0.99673540521534421</v>
      </c>
      <c r="O41" s="138">
        <f t="shared" si="12"/>
        <v>38.93248492771135</v>
      </c>
      <c r="P41" s="136">
        <f t="shared" si="13"/>
        <v>0.99673540521534421</v>
      </c>
      <c r="Q41" s="137">
        <f t="shared" si="14"/>
        <v>0.99673540521534421</v>
      </c>
      <c r="R41" s="138">
        <f t="shared" si="15"/>
        <v>48.979577812282017</v>
      </c>
      <c r="S41" s="136">
        <f t="shared" si="16"/>
        <v>0.99673540521534421</v>
      </c>
      <c r="T41" s="137">
        <f t="shared" si="17"/>
        <v>0.99673540521534421</v>
      </c>
      <c r="U41" s="138">
        <f t="shared" si="18"/>
        <v>0</v>
      </c>
      <c r="V41" s="143">
        <f t="shared" si="19"/>
        <v>50</v>
      </c>
      <c r="W41" s="144" t="str">
        <f t="shared" si="20"/>
        <v/>
      </c>
      <c r="X41" s="144">
        <f t="shared" si="21"/>
        <v>20</v>
      </c>
      <c r="Y41" s="144" t="str">
        <f t="shared" si="22"/>
        <v/>
      </c>
      <c r="Z41" s="142" t="str">
        <f t="shared" si="23"/>
        <v/>
      </c>
    </row>
    <row r="42" spans="3:26" ht="17" thickBot="1" x14ac:dyDescent="0.25">
      <c r="C42" s="82">
        <v>5</v>
      </c>
      <c r="D42" s="107">
        <f t="shared" si="1"/>
        <v>154.06504856527977</v>
      </c>
      <c r="E42" s="133">
        <f t="shared" si="2"/>
        <v>5</v>
      </c>
      <c r="F42" s="134">
        <f t="shared" si="3"/>
        <v>3.1622776601683795</v>
      </c>
      <c r="G42" s="136">
        <f t="shared" si="4"/>
        <v>1.1315552647337375</v>
      </c>
      <c r="H42" s="137">
        <f t="shared" si="5"/>
        <v>1.1315552647337375</v>
      </c>
      <c r="I42" s="138">
        <f t="shared" si="6"/>
        <v>21.590074451119708</v>
      </c>
      <c r="J42" s="136">
        <f t="shared" si="7"/>
        <v>1.1315552647337375</v>
      </c>
      <c r="K42" s="137">
        <f t="shared" si="8"/>
        <v>1.1315552647337375</v>
      </c>
      <c r="L42" s="138">
        <f t="shared" si="9"/>
        <v>27.089433037725676</v>
      </c>
      <c r="M42" s="136">
        <f t="shared" si="10"/>
        <v>1.1315552647337375</v>
      </c>
      <c r="N42" s="137">
        <f t="shared" si="11"/>
        <v>1.1315552647337375</v>
      </c>
      <c r="O42" s="138">
        <f t="shared" si="12"/>
        <v>44.198548640499787</v>
      </c>
      <c r="P42" s="136">
        <f t="shared" si="13"/>
        <v>1.1315552647337375</v>
      </c>
      <c r="Q42" s="137">
        <f t="shared" si="14"/>
        <v>1.1315552647337375</v>
      </c>
      <c r="R42" s="138">
        <f t="shared" si="15"/>
        <v>55.604625709015856</v>
      </c>
      <c r="S42" s="136">
        <f t="shared" si="16"/>
        <v>1.1315552647337375</v>
      </c>
      <c r="T42" s="137">
        <f t="shared" si="17"/>
        <v>1.1315552647337375</v>
      </c>
      <c r="U42" s="138">
        <f t="shared" si="18"/>
        <v>0</v>
      </c>
      <c r="V42" s="143">
        <f t="shared" si="19"/>
        <v>50</v>
      </c>
      <c r="W42" s="144" t="str">
        <f t="shared" si="20"/>
        <v/>
      </c>
      <c r="X42" s="144">
        <f t="shared" si="21"/>
        <v>20</v>
      </c>
      <c r="Y42" s="144" t="str">
        <f t="shared" si="22"/>
        <v/>
      </c>
      <c r="Z42" s="142" t="str">
        <f t="shared" si="23"/>
        <v/>
      </c>
    </row>
    <row r="43" spans="3:26" ht="17" thickBot="1" x14ac:dyDescent="0.25">
      <c r="C43" s="82">
        <v>6</v>
      </c>
      <c r="D43" s="107">
        <f t="shared" si="1"/>
        <v>153.06504856527977</v>
      </c>
      <c r="E43" s="133">
        <f t="shared" si="2"/>
        <v>6</v>
      </c>
      <c r="F43" s="134">
        <f t="shared" si="3"/>
        <v>3.9810717055349727</v>
      </c>
      <c r="G43" s="136">
        <f t="shared" si="4"/>
        <v>1.274050898794443</v>
      </c>
      <c r="H43" s="137">
        <f t="shared" si="5"/>
        <v>1.274050898794443</v>
      </c>
      <c r="I43" s="138">
        <f t="shared" si="6"/>
        <v>24.308891148997969</v>
      </c>
      <c r="J43" s="136">
        <f t="shared" si="7"/>
        <v>1.274050898794443</v>
      </c>
      <c r="K43" s="137">
        <f t="shared" si="8"/>
        <v>1.274050898794443</v>
      </c>
      <c r="L43" s="138">
        <f t="shared" si="9"/>
        <v>30.500778517138968</v>
      </c>
      <c r="M43" s="136">
        <f t="shared" si="10"/>
        <v>1.274050898794443</v>
      </c>
      <c r="N43" s="137">
        <f t="shared" si="11"/>
        <v>1.274050898794443</v>
      </c>
      <c r="O43" s="138">
        <f t="shared" si="12"/>
        <v>49.764428106910948</v>
      </c>
      <c r="P43" s="136">
        <f t="shared" si="13"/>
        <v>1.274050898794443</v>
      </c>
      <c r="Q43" s="137">
        <f t="shared" si="14"/>
        <v>1.274050898794443</v>
      </c>
      <c r="R43" s="138">
        <f t="shared" si="15"/>
        <v>62.606861166758932</v>
      </c>
      <c r="S43" s="136">
        <f t="shared" si="16"/>
        <v>1.274050898794443</v>
      </c>
      <c r="T43" s="137">
        <f t="shared" si="17"/>
        <v>1.274050898794443</v>
      </c>
      <c r="U43" s="138">
        <f t="shared" si="18"/>
        <v>0</v>
      </c>
      <c r="V43" s="143">
        <f t="shared" si="19"/>
        <v>50</v>
      </c>
      <c r="W43" s="144" t="str">
        <f t="shared" si="20"/>
        <v/>
      </c>
      <c r="X43" s="144">
        <f t="shared" si="21"/>
        <v>20</v>
      </c>
      <c r="Y43" s="144" t="str">
        <f t="shared" si="22"/>
        <v/>
      </c>
      <c r="Z43" s="142" t="str">
        <f t="shared" si="23"/>
        <v/>
      </c>
    </row>
    <row r="44" spans="3:26" ht="17" thickBot="1" x14ac:dyDescent="0.25">
      <c r="C44" s="82">
        <v>7</v>
      </c>
      <c r="D44" s="107">
        <f t="shared" si="1"/>
        <v>152.06504856527977</v>
      </c>
      <c r="E44" s="133">
        <f t="shared" si="2"/>
        <v>7</v>
      </c>
      <c r="F44" s="134">
        <f t="shared" si="3"/>
        <v>5.0118723362727229</v>
      </c>
      <c r="G44" s="136">
        <f t="shared" si="4"/>
        <v>1.4232979054591173</v>
      </c>
      <c r="H44" s="137">
        <f t="shared" si="5"/>
        <v>1.4232979054591173</v>
      </c>
      <c r="I44" s="138">
        <f t="shared" si="6"/>
        <v>27.156524036159954</v>
      </c>
      <c r="J44" s="136">
        <f t="shared" si="7"/>
        <v>1.4232979054591173</v>
      </c>
      <c r="K44" s="137">
        <f t="shared" si="8"/>
        <v>1.4232979054591173</v>
      </c>
      <c r="L44" s="138">
        <f t="shared" si="9"/>
        <v>34.073751856691267</v>
      </c>
      <c r="M44" s="136">
        <f t="shared" si="10"/>
        <v>1.4232979054591173</v>
      </c>
      <c r="N44" s="137">
        <f t="shared" si="11"/>
        <v>1.4232979054591173</v>
      </c>
      <c r="O44" s="138">
        <f t="shared" si="12"/>
        <v>55.594016187233123</v>
      </c>
      <c r="P44" s="136">
        <f t="shared" si="13"/>
        <v>1.4232979054591173</v>
      </c>
      <c r="Q44" s="137">
        <f t="shared" si="14"/>
        <v>1.4232979054591173</v>
      </c>
      <c r="R44" s="138">
        <f t="shared" si="15"/>
        <v>69.940859074261027</v>
      </c>
      <c r="S44" s="136">
        <f t="shared" si="16"/>
        <v>1.4232979054591173</v>
      </c>
      <c r="T44" s="137">
        <f t="shared" si="17"/>
        <v>1.4232979054591173</v>
      </c>
      <c r="U44" s="138">
        <f t="shared" si="18"/>
        <v>0</v>
      </c>
      <c r="V44" s="143">
        <f t="shared" si="19"/>
        <v>50</v>
      </c>
      <c r="W44" s="144" t="str">
        <f t="shared" si="20"/>
        <v/>
      </c>
      <c r="X44" s="144">
        <f t="shared" si="21"/>
        <v>20</v>
      </c>
      <c r="Y44" s="144" t="str">
        <f t="shared" si="22"/>
        <v/>
      </c>
      <c r="Z44" s="142" t="str">
        <f t="shared" si="23"/>
        <v/>
      </c>
    </row>
    <row r="45" spans="3:26" ht="17" thickBot="1" x14ac:dyDescent="0.25">
      <c r="C45" s="82">
        <v>8</v>
      </c>
      <c r="D45" s="107">
        <f t="shared" si="1"/>
        <v>151.06504856527977</v>
      </c>
      <c r="E45" s="133">
        <f t="shared" si="2"/>
        <v>8</v>
      </c>
      <c r="F45" s="134">
        <f t="shared" si="3"/>
        <v>6.3095734448019343</v>
      </c>
      <c r="G45" s="136">
        <f t="shared" si="4"/>
        <v>1.5783829705436572</v>
      </c>
      <c r="H45" s="137">
        <f t="shared" si="5"/>
        <v>1.5783829705436572</v>
      </c>
      <c r="I45" s="138">
        <f t="shared" si="6"/>
        <v>30.115547077972977</v>
      </c>
      <c r="J45" s="136">
        <f t="shared" si="7"/>
        <v>1.5783829705436572</v>
      </c>
      <c r="K45" s="137">
        <f t="shared" si="8"/>
        <v>1.5783829705436572</v>
      </c>
      <c r="L45" s="138">
        <f t="shared" si="9"/>
        <v>37.786488314815152</v>
      </c>
      <c r="M45" s="136">
        <f t="shared" si="10"/>
        <v>1.5783829705436572</v>
      </c>
      <c r="N45" s="137">
        <f t="shared" si="11"/>
        <v>1.5783829705436572</v>
      </c>
      <c r="O45" s="138">
        <f t="shared" si="12"/>
        <v>61.65163882943525</v>
      </c>
      <c r="P45" s="136">
        <f t="shared" si="13"/>
        <v>1.5783829705436572</v>
      </c>
      <c r="Q45" s="137">
        <f t="shared" si="14"/>
        <v>1.5783829705436572</v>
      </c>
      <c r="R45" s="138">
        <f t="shared" si="15"/>
        <v>77.561739172515317</v>
      </c>
      <c r="S45" s="136">
        <f t="shared" si="16"/>
        <v>1.5783829705436572</v>
      </c>
      <c r="T45" s="137">
        <f t="shared" si="17"/>
        <v>1.5783829705436572</v>
      </c>
      <c r="U45" s="138">
        <f t="shared" si="18"/>
        <v>0</v>
      </c>
      <c r="V45" s="143">
        <f t="shared" si="19"/>
        <v>50</v>
      </c>
      <c r="W45" s="144" t="str">
        <f t="shared" si="20"/>
        <v/>
      </c>
      <c r="X45" s="144">
        <f t="shared" si="21"/>
        <v>20</v>
      </c>
      <c r="Y45" s="144" t="str">
        <f t="shared" si="22"/>
        <v/>
      </c>
      <c r="Z45" s="142" t="str">
        <f t="shared" si="23"/>
        <v/>
      </c>
    </row>
    <row r="46" spans="3:26" ht="17" thickBot="1" x14ac:dyDescent="0.25">
      <c r="C46" s="82">
        <v>9</v>
      </c>
      <c r="D46" s="107">
        <f t="shared" si="1"/>
        <v>150.06504856527977</v>
      </c>
      <c r="E46" s="133">
        <f t="shared" si="2"/>
        <v>9</v>
      </c>
      <c r="F46" s="134">
        <f t="shared" si="3"/>
        <v>7.9432823472428176</v>
      </c>
      <c r="G46" s="136">
        <f t="shared" si="4"/>
        <v>1.7384424331521635</v>
      </c>
      <c r="H46" s="137">
        <f t="shared" si="5"/>
        <v>1.7384424331521635</v>
      </c>
      <c r="I46" s="138">
        <f t="shared" si="6"/>
        <v>33.16948162454328</v>
      </c>
      <c r="J46" s="136">
        <f t="shared" si="7"/>
        <v>1.7384424331521635</v>
      </c>
      <c r="K46" s="137">
        <f t="shared" si="8"/>
        <v>1.7384424331521635</v>
      </c>
      <c r="L46" s="138">
        <f t="shared" si="9"/>
        <v>41.618311849662796</v>
      </c>
      <c r="M46" s="136">
        <f t="shared" si="10"/>
        <v>1.7384424331521635</v>
      </c>
      <c r="N46" s="137">
        <f t="shared" si="11"/>
        <v>1.7384424331521635</v>
      </c>
      <c r="O46" s="138">
        <f t="shared" si="12"/>
        <v>67.903561438923518</v>
      </c>
      <c r="P46" s="136">
        <f t="shared" si="13"/>
        <v>1.7384424331521635</v>
      </c>
      <c r="Q46" s="137">
        <f t="shared" si="14"/>
        <v>1.7384424331521635</v>
      </c>
      <c r="R46" s="138">
        <f t="shared" si="15"/>
        <v>85.427061165097314</v>
      </c>
      <c r="S46" s="136">
        <f t="shared" si="16"/>
        <v>1.7384424331521635</v>
      </c>
      <c r="T46" s="137">
        <f t="shared" si="17"/>
        <v>1.7384424331521635</v>
      </c>
      <c r="U46" s="138">
        <f t="shared" si="18"/>
        <v>0</v>
      </c>
      <c r="V46" s="143">
        <f t="shared" si="19"/>
        <v>50</v>
      </c>
      <c r="W46" s="144" t="str">
        <f t="shared" si="20"/>
        <v/>
      </c>
      <c r="X46" s="144">
        <f t="shared" si="21"/>
        <v>20</v>
      </c>
      <c r="Y46" s="144" t="str">
        <f t="shared" si="22"/>
        <v/>
      </c>
      <c r="Z46" s="142" t="str">
        <f t="shared" si="23"/>
        <v/>
      </c>
    </row>
    <row r="47" spans="3:26" ht="17" thickBot="1" x14ac:dyDescent="0.25">
      <c r="C47" s="82">
        <v>10</v>
      </c>
      <c r="D47" s="107">
        <f t="shared" si="1"/>
        <v>149.06504856527977</v>
      </c>
      <c r="E47" s="133">
        <f t="shared" si="2"/>
        <v>10</v>
      </c>
      <c r="F47" s="134">
        <f t="shared" si="3"/>
        <v>10</v>
      </c>
      <c r="G47" s="136">
        <f t="shared" si="4"/>
        <v>1.9026873902505139</v>
      </c>
      <c r="H47" s="137">
        <f t="shared" si="5"/>
        <v>1.9026873902505139</v>
      </c>
      <c r="I47" s="138">
        <f t="shared" si="6"/>
        <v>36.303275405979804</v>
      </c>
      <c r="J47" s="136">
        <f t="shared" si="7"/>
        <v>1.9026873902505139</v>
      </c>
      <c r="K47" s="137">
        <f t="shared" si="8"/>
        <v>1.9026873902505139</v>
      </c>
      <c r="L47" s="138">
        <f t="shared" si="9"/>
        <v>45.550336122597308</v>
      </c>
      <c r="M47" s="136">
        <f t="shared" si="10"/>
        <v>1.9026873902505139</v>
      </c>
      <c r="N47" s="137">
        <f t="shared" si="11"/>
        <v>1.9026873902505139</v>
      </c>
      <c r="O47" s="138">
        <f t="shared" si="12"/>
        <v>74.318969463185084</v>
      </c>
      <c r="P47" s="136">
        <f t="shared" si="13"/>
        <v>1.9026873902505139</v>
      </c>
      <c r="Q47" s="137">
        <f t="shared" si="14"/>
        <v>1.9026873902505139</v>
      </c>
      <c r="R47" s="138">
        <f t="shared" si="15"/>
        <v>93.498058356910249</v>
      </c>
      <c r="S47" s="136">
        <f t="shared" si="16"/>
        <v>1.9026873902505139</v>
      </c>
      <c r="T47" s="137">
        <f t="shared" si="17"/>
        <v>1.9026873902505139</v>
      </c>
      <c r="U47" s="138">
        <f t="shared" si="18"/>
        <v>0</v>
      </c>
      <c r="V47" s="143">
        <f t="shared" si="19"/>
        <v>50</v>
      </c>
      <c r="W47" s="144" t="str">
        <f t="shared" si="20"/>
        <v/>
      </c>
      <c r="X47" s="144">
        <f t="shared" si="21"/>
        <v>20</v>
      </c>
      <c r="Y47" s="144" t="str">
        <f t="shared" si="22"/>
        <v/>
      </c>
      <c r="Z47" s="142" t="str">
        <f t="shared" si="23"/>
        <v/>
      </c>
    </row>
    <row r="48" spans="3:26" ht="17" thickBot="1" x14ac:dyDescent="0.25">
      <c r="C48" s="82">
        <v>11</v>
      </c>
      <c r="D48" s="107">
        <f t="shared" si="1"/>
        <v>148.06504856527977</v>
      </c>
      <c r="E48" s="133">
        <f t="shared" si="2"/>
        <v>11</v>
      </c>
      <c r="F48" s="134">
        <f t="shared" si="3"/>
        <v>12.58925411794168</v>
      </c>
      <c r="G48" s="136">
        <f t="shared" si="4"/>
        <v>2.0704169018735747</v>
      </c>
      <c r="H48" s="137">
        <f t="shared" si="5"/>
        <v>2.0704169018735747</v>
      </c>
      <c r="I48" s="138">
        <f t="shared" si="6"/>
        <v>39.503554487747806</v>
      </c>
      <c r="J48" s="136">
        <f t="shared" si="7"/>
        <v>2.0704169018735747</v>
      </c>
      <c r="K48" s="137">
        <f t="shared" si="8"/>
        <v>2.0704169018735747</v>
      </c>
      <c r="L48" s="138">
        <f t="shared" si="9"/>
        <v>49.565780630853382</v>
      </c>
      <c r="M48" s="136">
        <f t="shared" si="10"/>
        <v>2.0704169018735747</v>
      </c>
      <c r="N48" s="137">
        <f t="shared" si="11"/>
        <v>2.0704169018735747</v>
      </c>
      <c r="O48" s="138">
        <f t="shared" si="12"/>
        <v>80.87048418718183</v>
      </c>
      <c r="P48" s="136">
        <f t="shared" si="13"/>
        <v>2.0704169018735747</v>
      </c>
      <c r="Q48" s="137">
        <f t="shared" si="14"/>
        <v>2.0704169018735747</v>
      </c>
      <c r="R48" s="138">
        <f t="shared" si="15"/>
        <v>101.74028655806747</v>
      </c>
      <c r="S48" s="136">
        <f t="shared" si="16"/>
        <v>2.0704169018735747</v>
      </c>
      <c r="T48" s="137">
        <f t="shared" si="17"/>
        <v>2.0704169018735747</v>
      </c>
      <c r="U48" s="138">
        <f t="shared" si="18"/>
        <v>0</v>
      </c>
      <c r="V48" s="143">
        <f t="shared" si="19"/>
        <v>50</v>
      </c>
      <c r="W48" s="144" t="str">
        <f t="shared" si="20"/>
        <v/>
      </c>
      <c r="X48" s="144">
        <f t="shared" si="21"/>
        <v>20</v>
      </c>
      <c r="Y48" s="144" t="str">
        <f t="shared" si="22"/>
        <v/>
      </c>
      <c r="Z48" s="142" t="str">
        <f t="shared" si="23"/>
        <v/>
      </c>
    </row>
    <row r="49" spans="3:26" ht="17" thickBot="1" x14ac:dyDescent="0.25">
      <c r="C49" s="82">
        <v>12</v>
      </c>
      <c r="D49" s="107">
        <f t="shared" si="1"/>
        <v>147.06504856527977</v>
      </c>
      <c r="E49" s="133">
        <f t="shared" si="2"/>
        <v>12</v>
      </c>
      <c r="F49" s="134">
        <f t="shared" si="3"/>
        <v>15.848931924611136</v>
      </c>
      <c r="G49" s="136">
        <f t="shared" si="4"/>
        <v>2.2410218791979855</v>
      </c>
      <c r="H49" s="137">
        <f t="shared" si="5"/>
        <v>2.2410218791979855</v>
      </c>
      <c r="I49" s="138">
        <f t="shared" si="6"/>
        <v>42.758697455097561</v>
      </c>
      <c r="J49" s="136">
        <f t="shared" si="7"/>
        <v>2.2410218791979855</v>
      </c>
      <c r="K49" s="137">
        <f t="shared" si="8"/>
        <v>2.2410218791979855</v>
      </c>
      <c r="L49" s="138">
        <f t="shared" si="9"/>
        <v>53.650063787999777</v>
      </c>
      <c r="M49" s="136">
        <f t="shared" si="10"/>
        <v>2.2410218791979855</v>
      </c>
      <c r="N49" s="137">
        <f t="shared" si="11"/>
        <v>2.2410218791979855</v>
      </c>
      <c r="O49" s="138">
        <f t="shared" si="12"/>
        <v>87.534314601473312</v>
      </c>
      <c r="P49" s="136">
        <f t="shared" si="13"/>
        <v>2.2410218791979855</v>
      </c>
      <c r="Q49" s="137">
        <f t="shared" si="14"/>
        <v>2.2410218791979855</v>
      </c>
      <c r="R49" s="138">
        <f t="shared" si="15"/>
        <v>110.123815143789</v>
      </c>
      <c r="S49" s="136">
        <f t="shared" si="16"/>
        <v>2.2410218791979855</v>
      </c>
      <c r="T49" s="137">
        <f t="shared" si="17"/>
        <v>2.2410218791979855</v>
      </c>
      <c r="U49" s="138">
        <f t="shared" si="18"/>
        <v>0</v>
      </c>
      <c r="V49" s="143">
        <f t="shared" si="19"/>
        <v>50</v>
      </c>
      <c r="W49" s="144" t="str">
        <f t="shared" si="20"/>
        <v/>
      </c>
      <c r="X49" s="144">
        <f t="shared" si="21"/>
        <v>20</v>
      </c>
      <c r="Y49" s="144" t="str">
        <f t="shared" si="22"/>
        <v/>
      </c>
      <c r="Z49" s="142" t="str">
        <f t="shared" si="23"/>
        <v/>
      </c>
    </row>
    <row r="50" spans="3:26" ht="17" thickBot="1" x14ac:dyDescent="0.25">
      <c r="C50" s="82">
        <v>13</v>
      </c>
      <c r="D50" s="107">
        <f t="shared" si="1"/>
        <v>146.06504856527977</v>
      </c>
      <c r="E50" s="133">
        <f t="shared" si="2"/>
        <v>13</v>
      </c>
      <c r="F50" s="134">
        <f t="shared" si="3"/>
        <v>19.952623149688804</v>
      </c>
      <c r="G50" s="136">
        <f t="shared" si="4"/>
        <v>2.4139824320496754</v>
      </c>
      <c r="H50" s="137">
        <f t="shared" si="5"/>
        <v>2.4139824320496754</v>
      </c>
      <c r="I50" s="138">
        <f t="shared" si="6"/>
        <v>46.058784803507805</v>
      </c>
      <c r="J50" s="136">
        <f t="shared" si="7"/>
        <v>2.4139824320496754</v>
      </c>
      <c r="K50" s="137">
        <f t="shared" si="8"/>
        <v>2.4139824320496754</v>
      </c>
      <c r="L50" s="138">
        <f t="shared" si="9"/>
        <v>57.79073942326923</v>
      </c>
      <c r="M50" s="136">
        <f t="shared" si="10"/>
        <v>2.4139824320496754</v>
      </c>
      <c r="N50" s="137">
        <f t="shared" si="11"/>
        <v>2.4139824320496754</v>
      </c>
      <c r="O50" s="138">
        <f t="shared" si="12"/>
        <v>94.290153795860334</v>
      </c>
      <c r="P50" s="136">
        <f t="shared" si="13"/>
        <v>2.4139824320496754</v>
      </c>
      <c r="Q50" s="137">
        <f t="shared" si="14"/>
        <v>2.4139824320496754</v>
      </c>
      <c r="R50" s="138">
        <f t="shared" si="15"/>
        <v>118.62309671092105</v>
      </c>
      <c r="S50" s="136">
        <f t="shared" si="16"/>
        <v>2.4139824320496754</v>
      </c>
      <c r="T50" s="137">
        <f t="shared" si="17"/>
        <v>2.4139824320496754</v>
      </c>
      <c r="U50" s="138">
        <f t="shared" si="18"/>
        <v>0</v>
      </c>
      <c r="V50" s="143">
        <f t="shared" si="19"/>
        <v>50</v>
      </c>
      <c r="W50" s="144" t="str">
        <f t="shared" si="20"/>
        <v/>
      </c>
      <c r="X50" s="144">
        <f t="shared" si="21"/>
        <v>20</v>
      </c>
      <c r="Y50" s="144" t="str">
        <f t="shared" si="22"/>
        <v/>
      </c>
      <c r="Z50" s="142" t="str">
        <f t="shared" si="23"/>
        <v/>
      </c>
    </row>
    <row r="51" spans="3:26" ht="17" thickBot="1" x14ac:dyDescent="0.25">
      <c r="C51" s="82">
        <v>14</v>
      </c>
      <c r="D51" s="107">
        <f t="shared" si="1"/>
        <v>145.06504856527977</v>
      </c>
      <c r="E51" s="133">
        <f t="shared" si="2"/>
        <v>14</v>
      </c>
      <c r="F51" s="134">
        <f t="shared" si="3"/>
        <v>25.118864315095799</v>
      </c>
      <c r="G51" s="136">
        <f t="shared" si="4"/>
        <v>2.5888611445008598</v>
      </c>
      <c r="H51" s="137">
        <f t="shared" si="5"/>
        <v>2.5888611445008598</v>
      </c>
      <c r="I51" s="138">
        <f t="shared" si="6"/>
        <v>49.3954706370764</v>
      </c>
      <c r="J51" s="136">
        <f t="shared" si="7"/>
        <v>2.5888611445008598</v>
      </c>
      <c r="K51" s="137">
        <f t="shared" si="8"/>
        <v>2.5888611445008598</v>
      </c>
      <c r="L51" s="138">
        <f t="shared" si="9"/>
        <v>61.977335799350584</v>
      </c>
      <c r="M51" s="136">
        <f t="shared" si="10"/>
        <v>2.5888611445008598</v>
      </c>
      <c r="N51" s="137">
        <f t="shared" si="11"/>
        <v>2.5888611445008598</v>
      </c>
      <c r="O51" s="138">
        <f t="shared" si="12"/>
        <v>101.12091630420359</v>
      </c>
      <c r="P51" s="136">
        <f t="shared" si="13"/>
        <v>2.5888611445008598</v>
      </c>
      <c r="Q51" s="137">
        <f t="shared" si="14"/>
        <v>2.5888611445008598</v>
      </c>
      <c r="R51" s="138">
        <f t="shared" si="15"/>
        <v>127.21663664077225</v>
      </c>
      <c r="S51" s="136">
        <f t="shared" si="16"/>
        <v>2.5888611445008598</v>
      </c>
      <c r="T51" s="137">
        <f t="shared" si="17"/>
        <v>2.5888611445008598</v>
      </c>
      <c r="U51" s="138">
        <f t="shared" si="18"/>
        <v>0</v>
      </c>
      <c r="V51" s="143">
        <f t="shared" si="19"/>
        <v>50</v>
      </c>
      <c r="W51" s="144" t="str">
        <f t="shared" si="20"/>
        <v/>
      </c>
      <c r="X51" s="144">
        <f t="shared" si="21"/>
        <v>20</v>
      </c>
      <c r="Y51" s="144" t="str">
        <f t="shared" si="22"/>
        <v/>
      </c>
      <c r="Z51" s="142" t="str">
        <f t="shared" si="23"/>
        <v/>
      </c>
    </row>
    <row r="52" spans="3:26" ht="17" thickBot="1" x14ac:dyDescent="0.25">
      <c r="C52" s="82">
        <v>15</v>
      </c>
      <c r="D52" s="107">
        <f t="shared" si="1"/>
        <v>144.06504856527977</v>
      </c>
      <c r="E52" s="133">
        <f t="shared" si="2"/>
        <v>15</v>
      </c>
      <c r="F52" s="134">
        <f t="shared" si="3"/>
        <v>31.622776601683803</v>
      </c>
      <c r="G52" s="136">
        <f t="shared" si="4"/>
        <v>2.7652942203427862</v>
      </c>
      <c r="H52" s="137">
        <f t="shared" si="5"/>
        <v>2.7652942203427862</v>
      </c>
      <c r="I52" s="138">
        <f t="shared" si="6"/>
        <v>52.761813724140353</v>
      </c>
      <c r="J52" s="136">
        <f t="shared" si="7"/>
        <v>2.7652942203427862</v>
      </c>
      <c r="K52" s="137">
        <f t="shared" si="8"/>
        <v>2.7652942203427862</v>
      </c>
      <c r="L52" s="138">
        <f t="shared" si="9"/>
        <v>66.201143635006304</v>
      </c>
      <c r="M52" s="136">
        <f t="shared" si="10"/>
        <v>2.7652942203427862</v>
      </c>
      <c r="N52" s="137">
        <f t="shared" si="11"/>
        <v>2.7652942203427862</v>
      </c>
      <c r="O52" s="138">
        <f t="shared" si="12"/>
        <v>108.01239224658923</v>
      </c>
      <c r="P52" s="136">
        <f t="shared" si="13"/>
        <v>2.7652942203427862</v>
      </c>
      <c r="Q52" s="137">
        <f t="shared" si="14"/>
        <v>2.7652942203427862</v>
      </c>
      <c r="R52" s="138">
        <f t="shared" si="15"/>
        <v>135.88655798764452</v>
      </c>
      <c r="S52" s="136">
        <f t="shared" si="16"/>
        <v>2.7652942203427862</v>
      </c>
      <c r="T52" s="137">
        <f t="shared" si="17"/>
        <v>2.7652942203427862</v>
      </c>
      <c r="U52" s="138">
        <f t="shared" si="18"/>
        <v>0</v>
      </c>
      <c r="V52" s="143">
        <f t="shared" si="19"/>
        <v>50</v>
      </c>
      <c r="W52" s="144" t="str">
        <f t="shared" si="20"/>
        <v/>
      </c>
      <c r="X52" s="144">
        <f t="shared" si="21"/>
        <v>20</v>
      </c>
      <c r="Y52" s="144" t="str">
        <f t="shared" si="22"/>
        <v/>
      </c>
      <c r="Z52" s="142" t="str">
        <f t="shared" si="23"/>
        <v/>
      </c>
    </row>
    <row r="53" spans="3:26" ht="17" thickBot="1" x14ac:dyDescent="0.25">
      <c r="C53" s="82">
        <v>16</v>
      </c>
      <c r="D53" s="107">
        <f t="shared" si="1"/>
        <v>143.06504856527977</v>
      </c>
      <c r="E53" s="133">
        <f t="shared" si="2"/>
        <v>16</v>
      </c>
      <c r="F53" s="134">
        <f t="shared" si="3"/>
        <v>39.810717055349755</v>
      </c>
      <c r="G53" s="136">
        <f t="shared" si="4"/>
        <v>2.9429818848367324</v>
      </c>
      <c r="H53" s="137">
        <f t="shared" si="5"/>
        <v>2.9429818848367324</v>
      </c>
      <c r="I53" s="138">
        <f t="shared" si="6"/>
        <v>56.152094362684849</v>
      </c>
      <c r="J53" s="136">
        <f t="shared" si="7"/>
        <v>2.9429818848367324</v>
      </c>
      <c r="K53" s="137">
        <f t="shared" si="8"/>
        <v>2.9429818848367324</v>
      </c>
      <c r="L53" s="138">
        <f t="shared" si="9"/>
        <v>70.454986322991374</v>
      </c>
      <c r="M53" s="136">
        <f t="shared" si="10"/>
        <v>2.9429818848367324</v>
      </c>
      <c r="N53" s="137">
        <f t="shared" si="11"/>
        <v>2.9429818848367324</v>
      </c>
      <c r="O53" s="138">
        <f t="shared" si="12"/>
        <v>114.95287242172277</v>
      </c>
      <c r="P53" s="136">
        <f t="shared" si="13"/>
        <v>2.9429818848367324</v>
      </c>
      <c r="Q53" s="137">
        <f t="shared" si="14"/>
        <v>2.9429818848367324</v>
      </c>
      <c r="R53" s="138">
        <f t="shared" si="15"/>
        <v>144.61812982087704</v>
      </c>
      <c r="S53" s="136">
        <f t="shared" si="16"/>
        <v>2.9429818848367324</v>
      </c>
      <c r="T53" s="137">
        <f t="shared" si="17"/>
        <v>2.9429818848367324</v>
      </c>
      <c r="U53" s="138">
        <f t="shared" si="18"/>
        <v>0</v>
      </c>
      <c r="V53" s="143">
        <f t="shared" si="19"/>
        <v>50</v>
      </c>
      <c r="W53" s="144" t="str">
        <f t="shared" si="20"/>
        <v/>
      </c>
      <c r="X53" s="144">
        <f t="shared" si="21"/>
        <v>20</v>
      </c>
      <c r="Y53" s="144" t="str">
        <f t="shared" si="22"/>
        <v/>
      </c>
      <c r="Z53" s="142" t="str">
        <f t="shared" si="23"/>
        <v/>
      </c>
    </row>
    <row r="54" spans="3:26" ht="17" thickBot="1" x14ac:dyDescent="0.25">
      <c r="C54" s="82">
        <v>17</v>
      </c>
      <c r="D54" s="107">
        <f t="shared" si="1"/>
        <v>142.06504856527977</v>
      </c>
      <c r="E54" s="133">
        <f t="shared" si="2"/>
        <v>17</v>
      </c>
      <c r="F54" s="134">
        <f t="shared" si="3"/>
        <v>50.118723362727238</v>
      </c>
      <c r="G54" s="136">
        <f t="shared" si="4"/>
        <v>3.1216789459926866</v>
      </c>
      <c r="H54" s="137">
        <f t="shared" si="5"/>
        <v>3.1216789459926866</v>
      </c>
      <c r="I54" s="138">
        <f t="shared" si="6"/>
        <v>59.561634289540457</v>
      </c>
      <c r="J54" s="136">
        <f t="shared" si="7"/>
        <v>3.1216789459926866</v>
      </c>
      <c r="K54" s="137">
        <f t="shared" si="8"/>
        <v>3.1216789459926866</v>
      </c>
      <c r="L54" s="138">
        <f t="shared" si="9"/>
        <v>74.732993967064914</v>
      </c>
      <c r="M54" s="136">
        <f t="shared" si="10"/>
        <v>3.1216789459926866</v>
      </c>
      <c r="N54" s="137">
        <f t="shared" si="11"/>
        <v>3.1216789459926866</v>
      </c>
      <c r="O54" s="138">
        <f t="shared" si="12"/>
        <v>121.93277963047434</v>
      </c>
      <c r="P54" s="136">
        <f t="shared" si="13"/>
        <v>3.1216789459926866</v>
      </c>
      <c r="Q54" s="137">
        <f t="shared" si="14"/>
        <v>3.1216789459926866</v>
      </c>
      <c r="R54" s="138">
        <f t="shared" si="15"/>
        <v>153.39930340608063</v>
      </c>
      <c r="S54" s="136">
        <f t="shared" si="16"/>
        <v>3.1216789459926866</v>
      </c>
      <c r="T54" s="137">
        <f t="shared" si="17"/>
        <v>3.1216789459926866</v>
      </c>
      <c r="U54" s="138">
        <f t="shared" si="18"/>
        <v>0</v>
      </c>
      <c r="V54" s="143">
        <f t="shared" si="19"/>
        <v>50</v>
      </c>
      <c r="W54" s="144" t="str">
        <f t="shared" si="20"/>
        <v/>
      </c>
      <c r="X54" s="144">
        <f t="shared" si="21"/>
        <v>20</v>
      </c>
      <c r="Y54" s="144" t="str">
        <f t="shared" si="22"/>
        <v/>
      </c>
      <c r="Z54" s="142" t="str">
        <f t="shared" si="23"/>
        <v/>
      </c>
    </row>
    <row r="55" spans="3:26" ht="17" thickBot="1" x14ac:dyDescent="0.25">
      <c r="C55" s="82">
        <v>18</v>
      </c>
      <c r="D55" s="107">
        <f t="shared" si="1"/>
        <v>141.06504856527977</v>
      </c>
      <c r="E55" s="133">
        <f t="shared" si="2"/>
        <v>18</v>
      </c>
      <c r="F55" s="134">
        <f t="shared" si="3"/>
        <v>63.095734448019364</v>
      </c>
      <c r="G55" s="136">
        <f t="shared" si="4"/>
        <v>3.3011860442010903</v>
      </c>
      <c r="H55" s="137">
        <f t="shared" si="5"/>
        <v>3.3011860442010903</v>
      </c>
      <c r="I55" s="138">
        <f t="shared" si="6"/>
        <v>62.986629723356799</v>
      </c>
      <c r="J55" s="136">
        <f t="shared" si="7"/>
        <v>3.3011860442010903</v>
      </c>
      <c r="K55" s="137">
        <f t="shared" si="8"/>
        <v>3.3011860442010903</v>
      </c>
      <c r="L55" s="138">
        <f t="shared" si="9"/>
        <v>79.030393898174111</v>
      </c>
      <c r="M55" s="136">
        <f t="shared" si="10"/>
        <v>3.3011860442010903</v>
      </c>
      <c r="N55" s="137">
        <f t="shared" si="11"/>
        <v>3.3011860442010903</v>
      </c>
      <c r="O55" s="138">
        <f t="shared" si="12"/>
        <v>128.94432688649459</v>
      </c>
      <c r="P55" s="136">
        <f t="shared" si="13"/>
        <v>3.3011860442010903</v>
      </c>
      <c r="Q55" s="137">
        <f t="shared" si="14"/>
        <v>3.3011860442010903</v>
      </c>
      <c r="R55" s="138">
        <f t="shared" si="15"/>
        <v>162.22028221204158</v>
      </c>
      <c r="S55" s="136">
        <f t="shared" si="16"/>
        <v>3.3011860442010903</v>
      </c>
      <c r="T55" s="137">
        <f t="shared" si="17"/>
        <v>3.3011860442010903</v>
      </c>
      <c r="U55" s="138">
        <f t="shared" si="18"/>
        <v>0</v>
      </c>
      <c r="V55" s="143">
        <f t="shared" si="19"/>
        <v>50</v>
      </c>
      <c r="W55" s="144" t="str">
        <f t="shared" si="20"/>
        <v/>
      </c>
      <c r="X55" s="144">
        <f t="shared" si="21"/>
        <v>20</v>
      </c>
      <c r="Y55" s="144" t="str">
        <f t="shared" si="22"/>
        <v/>
      </c>
      <c r="Z55" s="142" t="str">
        <f t="shared" si="23"/>
        <v/>
      </c>
    </row>
    <row r="56" spans="3:26" ht="17" thickBot="1" x14ac:dyDescent="0.25">
      <c r="C56" s="82">
        <v>19</v>
      </c>
      <c r="D56" s="107">
        <f t="shared" si="1"/>
        <v>140.06504856527977</v>
      </c>
      <c r="E56" s="133">
        <f t="shared" si="2"/>
        <v>19</v>
      </c>
      <c r="F56" s="134">
        <f t="shared" si="3"/>
        <v>79.432823472428197</v>
      </c>
      <c r="G56" s="136">
        <f t="shared" si="4"/>
        <v>3.4813418526930513</v>
      </c>
      <c r="H56" s="137">
        <f t="shared" si="5"/>
        <v>3.4813418526930513</v>
      </c>
      <c r="I56" s="138">
        <f t="shared" si="6"/>
        <v>66.424002549383417</v>
      </c>
      <c r="J56" s="136">
        <f t="shared" si="7"/>
        <v>3.4813418526930513</v>
      </c>
      <c r="K56" s="137">
        <f t="shared" si="8"/>
        <v>3.4813418526930513</v>
      </c>
      <c r="L56" s="138">
        <f t="shared" si="9"/>
        <v>83.343323953471653</v>
      </c>
      <c r="M56" s="136">
        <f t="shared" si="10"/>
        <v>3.4813418526930513</v>
      </c>
      <c r="N56" s="137">
        <f t="shared" si="11"/>
        <v>3.4813418526930513</v>
      </c>
      <c r="O56" s="138">
        <f t="shared" si="12"/>
        <v>135.98121276619059</v>
      </c>
      <c r="P56" s="136">
        <f t="shared" si="13"/>
        <v>3.4813418526930513</v>
      </c>
      <c r="Q56" s="137">
        <f t="shared" si="14"/>
        <v>3.4813418526930513</v>
      </c>
      <c r="R56" s="138">
        <f t="shared" si="15"/>
        <v>171.07313864133656</v>
      </c>
      <c r="S56" s="136">
        <f t="shared" si="16"/>
        <v>3.4813418526930513</v>
      </c>
      <c r="T56" s="137">
        <f t="shared" si="17"/>
        <v>3.4813418526930513</v>
      </c>
      <c r="U56" s="138">
        <f t="shared" si="18"/>
        <v>0</v>
      </c>
      <c r="V56" s="143">
        <f t="shared" si="19"/>
        <v>50</v>
      </c>
      <c r="W56" s="144" t="str">
        <f t="shared" si="20"/>
        <v/>
      </c>
      <c r="X56" s="144">
        <f t="shared" si="21"/>
        <v>20</v>
      </c>
      <c r="Y56" s="144" t="str">
        <f t="shared" si="22"/>
        <v/>
      </c>
      <c r="Z56" s="142" t="str">
        <f t="shared" si="23"/>
        <v/>
      </c>
    </row>
    <row r="57" spans="3:26" ht="17" thickBot="1" x14ac:dyDescent="0.25">
      <c r="C57" s="82">
        <v>20</v>
      </c>
      <c r="D57" s="107">
        <f t="shared" si="1"/>
        <v>139.06504856527977</v>
      </c>
      <c r="E57" s="133">
        <f t="shared" si="2"/>
        <v>20</v>
      </c>
      <c r="F57" s="134">
        <f t="shared" si="3"/>
        <v>100</v>
      </c>
      <c r="G57" s="136">
        <f t="shared" si="4"/>
        <v>3.6620163155134877</v>
      </c>
      <c r="H57" s="137">
        <f t="shared" si="5"/>
        <v>3.6620163155134877</v>
      </c>
      <c r="I57" s="138">
        <f t="shared" si="6"/>
        <v>69.871271299997346</v>
      </c>
      <c r="J57" s="136">
        <f t="shared" si="7"/>
        <v>3.6620163155134877</v>
      </c>
      <c r="K57" s="137">
        <f t="shared" si="8"/>
        <v>3.6620163155134877</v>
      </c>
      <c r="L57" s="138">
        <f t="shared" si="9"/>
        <v>87.668670593392903</v>
      </c>
      <c r="M57" s="136">
        <f t="shared" si="10"/>
        <v>3.6620163155134877</v>
      </c>
      <c r="N57" s="137">
        <f t="shared" si="11"/>
        <v>3.6620163155134877</v>
      </c>
      <c r="O57" s="138">
        <f t="shared" si="12"/>
        <v>143.03835728395683</v>
      </c>
      <c r="P57" s="136">
        <f t="shared" si="13"/>
        <v>3.6620163155134877</v>
      </c>
      <c r="Q57" s="137">
        <f t="shared" si="14"/>
        <v>3.6620163155134877</v>
      </c>
      <c r="R57" s="138">
        <f t="shared" si="15"/>
        <v>179.9514817443328</v>
      </c>
      <c r="S57" s="136">
        <f t="shared" si="16"/>
        <v>3.6620163155134877</v>
      </c>
      <c r="T57" s="137">
        <f t="shared" si="17"/>
        <v>3.6620163155134877</v>
      </c>
      <c r="U57" s="138">
        <f t="shared" si="18"/>
        <v>0</v>
      </c>
      <c r="V57" s="143">
        <f t="shared" si="19"/>
        <v>50</v>
      </c>
      <c r="W57" s="144" t="str">
        <f t="shared" si="20"/>
        <v/>
      </c>
      <c r="X57" s="144">
        <f t="shared" si="21"/>
        <v>20</v>
      </c>
      <c r="Y57" s="144" t="str">
        <f t="shared" si="22"/>
        <v/>
      </c>
      <c r="Z57" s="142" t="str">
        <f t="shared" si="23"/>
        <v/>
      </c>
    </row>
    <row r="58" spans="3:26" ht="17" thickBot="1" x14ac:dyDescent="0.25">
      <c r="C58" s="82">
        <v>21</v>
      </c>
      <c r="D58" s="107">
        <f t="shared" si="1"/>
        <v>138.06504856527977</v>
      </c>
      <c r="E58" s="133">
        <f t="shared" si="2"/>
        <v>21</v>
      </c>
      <c r="F58" s="134">
        <f t="shared" si="3"/>
        <v>125.89254117941677</v>
      </c>
      <c r="G58" s="136">
        <f t="shared" si="4"/>
        <v>3.8431049024257584</v>
      </c>
      <c r="H58" s="137">
        <f t="shared" si="5"/>
        <v>3.8431049024257584</v>
      </c>
      <c r="I58" s="138">
        <f t="shared" si="6"/>
        <v>73.326441538283461</v>
      </c>
      <c r="J58" s="136">
        <f t="shared" si="7"/>
        <v>3.8431049024257584</v>
      </c>
      <c r="K58" s="137">
        <f t="shared" si="8"/>
        <v>3.8431049024257584</v>
      </c>
      <c r="L58" s="138">
        <f t="shared" si="9"/>
        <v>92.003931364072656</v>
      </c>
      <c r="M58" s="136">
        <f t="shared" si="10"/>
        <v>3.8431049024257584</v>
      </c>
      <c r="N58" s="137">
        <f t="shared" si="11"/>
        <v>3.8431049024257584</v>
      </c>
      <c r="O58" s="138">
        <f t="shared" si="12"/>
        <v>150.11167748875013</v>
      </c>
      <c r="P58" s="136">
        <f t="shared" si="13"/>
        <v>3.8431049024257584</v>
      </c>
      <c r="Q58" s="137">
        <f t="shared" si="14"/>
        <v>3.8431049024257584</v>
      </c>
      <c r="R58" s="138">
        <f t="shared" si="15"/>
        <v>188.85017490520178</v>
      </c>
      <c r="S58" s="136">
        <f t="shared" si="16"/>
        <v>3.8431049024257584</v>
      </c>
      <c r="T58" s="137">
        <f t="shared" si="17"/>
        <v>3.8431049024257584</v>
      </c>
      <c r="U58" s="138">
        <f t="shared" si="18"/>
        <v>0</v>
      </c>
      <c r="V58" s="143">
        <f t="shared" si="19"/>
        <v>50</v>
      </c>
      <c r="W58" s="144" t="str">
        <f t="shared" si="20"/>
        <v/>
      </c>
      <c r="X58" s="144">
        <f t="shared" si="21"/>
        <v>20</v>
      </c>
      <c r="Y58" s="144" t="str">
        <f t="shared" si="22"/>
        <v/>
      </c>
      <c r="Z58" s="142" t="str">
        <f t="shared" si="23"/>
        <v/>
      </c>
    </row>
    <row r="59" spans="3:26" ht="17" thickBot="1" x14ac:dyDescent="0.25">
      <c r="C59" s="82">
        <v>22</v>
      </c>
      <c r="D59" s="107">
        <f t="shared" si="1"/>
        <v>137.06504856527977</v>
      </c>
      <c r="E59" s="133">
        <f t="shared" si="2"/>
        <v>22</v>
      </c>
      <c r="F59" s="134">
        <f t="shared" si="3"/>
        <v>158.48931924611153</v>
      </c>
      <c r="G59" s="136">
        <f t="shared" si="4"/>
        <v>4.0245238010651017</v>
      </c>
      <c r="H59" s="137">
        <f t="shared" si="5"/>
        <v>4.0245238010651017</v>
      </c>
      <c r="I59" s="138">
        <f t="shared" si="6"/>
        <v>76.787914124322128</v>
      </c>
      <c r="J59" s="136">
        <f t="shared" si="7"/>
        <v>4.0245238010651017</v>
      </c>
      <c r="K59" s="137">
        <f t="shared" si="8"/>
        <v>4.0245238010651017</v>
      </c>
      <c r="L59" s="138">
        <f t="shared" si="9"/>
        <v>96.347099797498544</v>
      </c>
      <c r="M59" s="136">
        <f t="shared" si="10"/>
        <v>4.0245238010651017</v>
      </c>
      <c r="N59" s="137">
        <f t="shared" si="11"/>
        <v>4.0245238010651017</v>
      </c>
      <c r="O59" s="138">
        <f t="shared" si="12"/>
        <v>157.19789966960289</v>
      </c>
      <c r="P59" s="136">
        <f t="shared" si="13"/>
        <v>4.0245238010651017</v>
      </c>
      <c r="Q59" s="137">
        <f t="shared" si="14"/>
        <v>4.0245238010651017</v>
      </c>
      <c r="R59" s="138">
        <f t="shared" si="15"/>
        <v>197.76509958433911</v>
      </c>
      <c r="S59" s="136">
        <f t="shared" si="16"/>
        <v>4.0245238010651017</v>
      </c>
      <c r="T59" s="137">
        <f t="shared" si="17"/>
        <v>4.0245238010651017</v>
      </c>
      <c r="U59" s="138">
        <f t="shared" si="18"/>
        <v>0</v>
      </c>
      <c r="V59" s="143">
        <f t="shared" si="19"/>
        <v>50</v>
      </c>
      <c r="W59" s="144" t="str">
        <f t="shared" si="20"/>
        <v/>
      </c>
      <c r="X59" s="144">
        <f t="shared" si="21"/>
        <v>20</v>
      </c>
      <c r="Y59" s="144" t="str">
        <f t="shared" si="22"/>
        <v/>
      </c>
      <c r="Z59" s="142" t="str">
        <f t="shared" si="23"/>
        <v/>
      </c>
    </row>
    <row r="60" spans="3:26" ht="17" thickBot="1" x14ac:dyDescent="0.25">
      <c r="C60" s="82">
        <v>23</v>
      </c>
      <c r="D60" s="107">
        <f t="shared" si="1"/>
        <v>136.06504856527977</v>
      </c>
      <c r="E60" s="133">
        <f t="shared" si="2"/>
        <v>23</v>
      </c>
      <c r="F60" s="134">
        <f t="shared" si="3"/>
        <v>199.52623149688802</v>
      </c>
      <c r="G60" s="136">
        <f t="shared" si="4"/>
        <v>4.2062059393697249</v>
      </c>
      <c r="H60" s="137">
        <f t="shared" si="5"/>
        <v>4.2062059393697249</v>
      </c>
      <c r="I60" s="138">
        <f t="shared" si="6"/>
        <v>80.254409323174343</v>
      </c>
      <c r="J60" s="136">
        <f t="shared" si="7"/>
        <v>4.2062059393697249</v>
      </c>
      <c r="K60" s="137">
        <f t="shared" si="8"/>
        <v>4.2062059393697249</v>
      </c>
      <c r="L60" s="138">
        <f t="shared" si="9"/>
        <v>100.69657018851122</v>
      </c>
      <c r="M60" s="136">
        <f t="shared" si="10"/>
        <v>4.2062059393697249</v>
      </c>
      <c r="N60" s="137">
        <f t="shared" si="11"/>
        <v>4.2062059393697249</v>
      </c>
      <c r="O60" s="138">
        <f t="shared" si="12"/>
        <v>164.29440399178145</v>
      </c>
      <c r="P60" s="136">
        <f t="shared" si="13"/>
        <v>4.2062059393697249</v>
      </c>
      <c r="Q60" s="137">
        <f t="shared" si="14"/>
        <v>4.2062059393697249</v>
      </c>
      <c r="R60" s="138">
        <f t="shared" si="15"/>
        <v>206.69295986062829</v>
      </c>
      <c r="S60" s="136">
        <f t="shared" si="16"/>
        <v>4.2062059393697249</v>
      </c>
      <c r="T60" s="137">
        <f t="shared" si="17"/>
        <v>4.2062059393697249</v>
      </c>
      <c r="U60" s="138">
        <f t="shared" si="18"/>
        <v>0</v>
      </c>
      <c r="V60" s="143">
        <f t="shared" si="19"/>
        <v>50</v>
      </c>
      <c r="W60" s="144" t="str">
        <f t="shared" si="20"/>
        <v/>
      </c>
      <c r="X60" s="144">
        <f t="shared" si="21"/>
        <v>20</v>
      </c>
      <c r="Y60" s="144" t="str">
        <f t="shared" si="22"/>
        <v/>
      </c>
      <c r="Z60" s="142" t="str">
        <f t="shared" si="23"/>
        <v/>
      </c>
    </row>
    <row r="61" spans="3:26" ht="17" thickBot="1" x14ac:dyDescent="0.25">
      <c r="C61" s="82">
        <v>24</v>
      </c>
      <c r="D61" s="107">
        <f t="shared" si="1"/>
        <v>135.06504856527977</v>
      </c>
      <c r="E61" s="133">
        <f t="shared" si="2"/>
        <v>24</v>
      </c>
      <c r="F61" s="134">
        <f t="shared" si="3"/>
        <v>251.18864315095806</v>
      </c>
      <c r="G61" s="136">
        <f t="shared" si="4"/>
        <v>4.3880977237906862</v>
      </c>
      <c r="H61" s="137">
        <f t="shared" si="5"/>
        <v>4.3880977237906862</v>
      </c>
      <c r="I61" s="138">
        <f t="shared" si="6"/>
        <v>83.724904569926281</v>
      </c>
      <c r="J61" s="136">
        <f t="shared" si="7"/>
        <v>4.3880977237906862</v>
      </c>
      <c r="K61" s="137">
        <f t="shared" si="8"/>
        <v>4.3880977237906862</v>
      </c>
      <c r="L61" s="138">
        <f t="shared" si="9"/>
        <v>105.05105950754903</v>
      </c>
      <c r="M61" s="136">
        <f t="shared" si="10"/>
        <v>4.3880977237906862</v>
      </c>
      <c r="N61" s="137">
        <f t="shared" si="11"/>
        <v>4.3880977237906862</v>
      </c>
      <c r="O61" s="138">
        <f t="shared" si="12"/>
        <v>171.39909709126422</v>
      </c>
      <c r="P61" s="136">
        <f t="shared" si="13"/>
        <v>4.3880977237906862</v>
      </c>
      <c r="Q61" s="137">
        <f t="shared" si="14"/>
        <v>4.3880977237906862</v>
      </c>
      <c r="R61" s="138">
        <f t="shared" si="15"/>
        <v>215.63112214707431</v>
      </c>
      <c r="S61" s="136">
        <f t="shared" si="16"/>
        <v>4.3880977237906862</v>
      </c>
      <c r="T61" s="137">
        <f t="shared" si="17"/>
        <v>4.3880977237906862</v>
      </c>
      <c r="U61" s="138">
        <f t="shared" si="18"/>
        <v>0</v>
      </c>
      <c r="V61" s="143">
        <f t="shared" si="19"/>
        <v>50</v>
      </c>
      <c r="W61" s="144" t="str">
        <f t="shared" si="20"/>
        <v/>
      </c>
      <c r="X61" s="144">
        <f t="shared" si="21"/>
        <v>20</v>
      </c>
      <c r="Y61" s="144" t="str">
        <f t="shared" si="22"/>
        <v/>
      </c>
      <c r="Z61" s="142" t="str">
        <f t="shared" si="23"/>
        <v/>
      </c>
    </row>
    <row r="62" spans="3:26" ht="17" thickBot="1" x14ac:dyDescent="0.25">
      <c r="C62" s="82">
        <v>25</v>
      </c>
      <c r="D62" s="107">
        <f t="shared" si="1"/>
        <v>134.06504856527977</v>
      </c>
      <c r="E62" s="133">
        <f t="shared" si="2"/>
        <v>25</v>
      </c>
      <c r="F62" s="134">
        <f t="shared" si="3"/>
        <v>316.22776601683825</v>
      </c>
      <c r="G62" s="136">
        <f t="shared" si="4"/>
        <v>4.5701563826670437</v>
      </c>
      <c r="H62" s="137">
        <f t="shared" si="5"/>
        <v>4.4289375</v>
      </c>
      <c r="I62" s="138">
        <f t="shared" si="6"/>
        <v>84.504127499999996</v>
      </c>
      <c r="J62" s="136">
        <f t="shared" si="7"/>
        <v>4.5701563826670437</v>
      </c>
      <c r="K62" s="137">
        <f t="shared" si="8"/>
        <v>4.4289375</v>
      </c>
      <c r="L62" s="138">
        <f t="shared" si="9"/>
        <v>106.02876375000001</v>
      </c>
      <c r="M62" s="136">
        <f t="shared" si="10"/>
        <v>4.5701563826670437</v>
      </c>
      <c r="N62" s="137">
        <f t="shared" si="11"/>
        <v>4.4289375</v>
      </c>
      <c r="O62" s="138">
        <f t="shared" si="12"/>
        <v>172.99429875000001</v>
      </c>
      <c r="P62" s="136">
        <f t="shared" si="13"/>
        <v>4.5701563826670437</v>
      </c>
      <c r="Q62" s="137">
        <f t="shared" si="14"/>
        <v>4.4289375</v>
      </c>
      <c r="R62" s="138">
        <f t="shared" si="15"/>
        <v>217.63798875000001</v>
      </c>
      <c r="S62" s="136">
        <f t="shared" si="16"/>
        <v>4.5701563826670437</v>
      </c>
      <c r="T62" s="137">
        <f t="shared" si="17"/>
        <v>4.4289375</v>
      </c>
      <c r="U62" s="138">
        <f t="shared" si="18"/>
        <v>0</v>
      </c>
      <c r="V62" s="143">
        <f t="shared" si="19"/>
        <v>50</v>
      </c>
      <c r="W62" s="144" t="str">
        <f t="shared" si="20"/>
        <v/>
      </c>
      <c r="X62" s="144">
        <f t="shared" si="21"/>
        <v>20</v>
      </c>
      <c r="Y62" s="144" t="str">
        <f t="shared" si="22"/>
        <v/>
      </c>
      <c r="Z62" s="142" t="str">
        <f t="shared" si="23"/>
        <v/>
      </c>
    </row>
    <row r="63" spans="3:26" ht="17" thickBot="1" x14ac:dyDescent="0.25">
      <c r="C63" s="82">
        <v>26</v>
      </c>
      <c r="D63" s="107">
        <f t="shared" si="1"/>
        <v>133.06504856527977</v>
      </c>
      <c r="E63" s="133">
        <f t="shared" si="2"/>
        <v>26</v>
      </c>
      <c r="F63" s="134">
        <f t="shared" si="3"/>
        <v>398.10717055349761</v>
      </c>
      <c r="G63" s="136">
        <f t="shared" si="4"/>
        <v>4.7523478139595676</v>
      </c>
      <c r="H63" s="137">
        <f t="shared" si="5"/>
        <v>4.4289375</v>
      </c>
      <c r="I63" s="138">
        <f t="shared" si="6"/>
        <v>84.504127499999996</v>
      </c>
      <c r="J63" s="136">
        <f t="shared" si="7"/>
        <v>4.7523478139595676</v>
      </c>
      <c r="K63" s="137">
        <f t="shared" si="8"/>
        <v>4.4289375</v>
      </c>
      <c r="L63" s="138">
        <f t="shared" si="9"/>
        <v>106.02876375000001</v>
      </c>
      <c r="M63" s="136">
        <f t="shared" si="10"/>
        <v>4.7523478139595676</v>
      </c>
      <c r="N63" s="137">
        <f t="shared" si="11"/>
        <v>4.4289375</v>
      </c>
      <c r="O63" s="138">
        <f t="shared" si="12"/>
        <v>172.99429875000001</v>
      </c>
      <c r="P63" s="136">
        <f t="shared" si="13"/>
        <v>4.7523478139595676</v>
      </c>
      <c r="Q63" s="137">
        <f t="shared" si="14"/>
        <v>4.4289375</v>
      </c>
      <c r="R63" s="138">
        <f t="shared" si="15"/>
        <v>217.63798875000001</v>
      </c>
      <c r="S63" s="136">
        <f t="shared" si="16"/>
        <v>4.7523478139595676</v>
      </c>
      <c r="T63" s="137">
        <f t="shared" si="17"/>
        <v>4.4289375</v>
      </c>
      <c r="U63" s="138">
        <f t="shared" si="18"/>
        <v>0</v>
      </c>
      <c r="V63" s="143">
        <f t="shared" si="19"/>
        <v>50</v>
      </c>
      <c r="W63" s="144" t="str">
        <f t="shared" si="20"/>
        <v/>
      </c>
      <c r="X63" s="144">
        <f t="shared" si="21"/>
        <v>20</v>
      </c>
      <c r="Y63" s="144" t="str">
        <f t="shared" si="22"/>
        <v/>
      </c>
      <c r="Z63" s="142" t="str">
        <f t="shared" si="23"/>
        <v/>
      </c>
    </row>
    <row r="64" spans="3:26" ht="17" thickBot="1" x14ac:dyDescent="0.25">
      <c r="C64" s="82">
        <v>27</v>
      </c>
      <c r="D64" s="107">
        <f t="shared" si="1"/>
        <v>132.06504856527977</v>
      </c>
      <c r="E64" s="133">
        <f t="shared" si="2"/>
        <v>27</v>
      </c>
      <c r="F64" s="134">
        <f t="shared" si="3"/>
        <v>501.18723362727269</v>
      </c>
      <c r="G64" s="136">
        <f t="shared" si="4"/>
        <v>4.9346448488265269</v>
      </c>
      <c r="H64" s="137">
        <f t="shared" si="5"/>
        <v>4.4289375</v>
      </c>
      <c r="I64" s="138">
        <f t="shared" si="6"/>
        <v>84.504127499999996</v>
      </c>
      <c r="J64" s="136">
        <f t="shared" si="7"/>
        <v>4.9346448488265269</v>
      </c>
      <c r="K64" s="137">
        <f t="shared" si="8"/>
        <v>4.4289375</v>
      </c>
      <c r="L64" s="138">
        <f t="shared" si="9"/>
        <v>106.02876375000001</v>
      </c>
      <c r="M64" s="136">
        <f t="shared" si="10"/>
        <v>4.9346448488265269</v>
      </c>
      <c r="N64" s="137">
        <f t="shared" si="11"/>
        <v>4.4289375</v>
      </c>
      <c r="O64" s="138">
        <f t="shared" si="12"/>
        <v>172.99429875000001</v>
      </c>
      <c r="P64" s="136">
        <f t="shared" si="13"/>
        <v>4.9346448488265269</v>
      </c>
      <c r="Q64" s="137">
        <f t="shared" si="14"/>
        <v>4.4289375</v>
      </c>
      <c r="R64" s="138">
        <f t="shared" si="15"/>
        <v>217.63798875000001</v>
      </c>
      <c r="S64" s="136">
        <f t="shared" si="16"/>
        <v>4.9346448488265269</v>
      </c>
      <c r="T64" s="137">
        <f t="shared" si="17"/>
        <v>4.4289375</v>
      </c>
      <c r="U64" s="138">
        <f t="shared" si="18"/>
        <v>0</v>
      </c>
      <c r="V64" s="143">
        <f t="shared" si="19"/>
        <v>50</v>
      </c>
      <c r="W64" s="144" t="str">
        <f t="shared" si="20"/>
        <v/>
      </c>
      <c r="X64" s="144">
        <f t="shared" si="21"/>
        <v>20</v>
      </c>
      <c r="Y64" s="144" t="str">
        <f t="shared" si="22"/>
        <v/>
      </c>
      <c r="Z64" s="142" t="str">
        <f t="shared" si="23"/>
        <v/>
      </c>
    </row>
    <row r="65" spans="3:26" ht="17" thickBot="1" x14ac:dyDescent="0.25">
      <c r="C65" s="82">
        <v>28</v>
      </c>
      <c r="D65" s="107">
        <f t="shared" si="1"/>
        <v>131.06504856527977</v>
      </c>
      <c r="E65" s="133">
        <f t="shared" si="2"/>
        <v>28</v>
      </c>
      <c r="F65" s="134">
        <f t="shared" si="3"/>
        <v>630.95734448019323</v>
      </c>
      <c r="G65" s="136">
        <f t="shared" si="4"/>
        <v>5.1170258552615868</v>
      </c>
      <c r="H65" s="137">
        <f t="shared" si="5"/>
        <v>4.4289375</v>
      </c>
      <c r="I65" s="138">
        <f t="shared" si="6"/>
        <v>84.504127499999996</v>
      </c>
      <c r="J65" s="136">
        <f t="shared" si="7"/>
        <v>5.1170258552615868</v>
      </c>
      <c r="K65" s="137">
        <f t="shared" si="8"/>
        <v>4.4289375</v>
      </c>
      <c r="L65" s="138">
        <f t="shared" si="9"/>
        <v>106.02876375000001</v>
      </c>
      <c r="M65" s="136">
        <f t="shared" si="10"/>
        <v>5.1170258552615868</v>
      </c>
      <c r="N65" s="137">
        <f t="shared" si="11"/>
        <v>4.4289375</v>
      </c>
      <c r="O65" s="138">
        <f t="shared" si="12"/>
        <v>172.99429875000001</v>
      </c>
      <c r="P65" s="136">
        <f t="shared" si="13"/>
        <v>5.1170258552615868</v>
      </c>
      <c r="Q65" s="137">
        <f t="shared" si="14"/>
        <v>4.4289375</v>
      </c>
      <c r="R65" s="138">
        <f t="shared" si="15"/>
        <v>217.63798875000001</v>
      </c>
      <c r="S65" s="136">
        <f t="shared" si="16"/>
        <v>5.1170258552615868</v>
      </c>
      <c r="T65" s="137">
        <f t="shared" si="17"/>
        <v>4.4289375</v>
      </c>
      <c r="U65" s="138">
        <f t="shared" si="18"/>
        <v>0</v>
      </c>
      <c r="V65" s="143">
        <f t="shared" si="19"/>
        <v>50</v>
      </c>
      <c r="W65" s="144" t="str">
        <f t="shared" si="20"/>
        <v/>
      </c>
      <c r="X65" s="144">
        <f t="shared" si="21"/>
        <v>20</v>
      </c>
      <c r="Y65" s="144" t="str">
        <f t="shared" si="22"/>
        <v/>
      </c>
      <c r="Z65" s="142" t="str">
        <f t="shared" si="23"/>
        <v/>
      </c>
    </row>
    <row r="66" spans="3:26" ht="17" thickBot="1" x14ac:dyDescent="0.25">
      <c r="C66" s="82">
        <v>29</v>
      </c>
      <c r="D66" s="107">
        <f t="shared" si="1"/>
        <v>130.06504856527977</v>
      </c>
      <c r="E66" s="133">
        <f t="shared" si="2"/>
        <v>29</v>
      </c>
      <c r="F66" s="134">
        <f t="shared" si="3"/>
        <v>794.32823472428208</v>
      </c>
      <c r="G66" s="136">
        <f t="shared" si="4"/>
        <v>5.2994736180768998</v>
      </c>
      <c r="H66" s="137">
        <f t="shared" si="5"/>
        <v>4.4289375</v>
      </c>
      <c r="I66" s="138">
        <f t="shared" si="6"/>
        <v>84.504127499999996</v>
      </c>
      <c r="J66" s="136">
        <f t="shared" si="7"/>
        <v>5.2994736180768998</v>
      </c>
      <c r="K66" s="137">
        <f t="shared" si="8"/>
        <v>4.4289375</v>
      </c>
      <c r="L66" s="138">
        <f t="shared" si="9"/>
        <v>106.02876375000001</v>
      </c>
      <c r="M66" s="136">
        <f t="shared" si="10"/>
        <v>5.2994736180768998</v>
      </c>
      <c r="N66" s="137">
        <f t="shared" si="11"/>
        <v>4.4289375</v>
      </c>
      <c r="O66" s="138">
        <f t="shared" si="12"/>
        <v>172.99429875000001</v>
      </c>
      <c r="P66" s="136">
        <f t="shared" si="13"/>
        <v>5.2994736180768998</v>
      </c>
      <c r="Q66" s="137">
        <f t="shared" si="14"/>
        <v>4.4289375</v>
      </c>
      <c r="R66" s="138">
        <f t="shared" si="15"/>
        <v>217.63798875000001</v>
      </c>
      <c r="S66" s="136">
        <f t="shared" si="16"/>
        <v>5.2994736180768998</v>
      </c>
      <c r="T66" s="137">
        <f t="shared" si="17"/>
        <v>4.4289375</v>
      </c>
      <c r="U66" s="138">
        <f t="shared" si="18"/>
        <v>0</v>
      </c>
      <c r="V66" s="143">
        <f t="shared" si="19"/>
        <v>50</v>
      </c>
      <c r="W66" s="144" t="str">
        <f t="shared" si="20"/>
        <v/>
      </c>
      <c r="X66" s="144">
        <f t="shared" si="21"/>
        <v>20</v>
      </c>
      <c r="Y66" s="144" t="str">
        <f t="shared" si="22"/>
        <v/>
      </c>
      <c r="Z66" s="142" t="str">
        <f t="shared" si="23"/>
        <v/>
      </c>
    </row>
    <row r="67" spans="3:26" ht="17" thickBot="1" x14ac:dyDescent="0.25">
      <c r="C67" s="82">
        <v>30</v>
      </c>
      <c r="D67" s="107">
        <f t="shared" si="1"/>
        <v>129.06504856527977</v>
      </c>
      <c r="E67" s="133">
        <f t="shared" si="2"/>
        <v>30</v>
      </c>
      <c r="F67" s="134">
        <f t="shared" si="3"/>
        <v>1000</v>
      </c>
      <c r="G67" s="139">
        <f t="shared" si="4"/>
        <v>5.481974442359796</v>
      </c>
      <c r="H67" s="140">
        <f t="shared" si="5"/>
        <v>4.4289375</v>
      </c>
      <c r="I67" s="141">
        <f t="shared" si="6"/>
        <v>84.504127499999996</v>
      </c>
      <c r="J67" s="139">
        <f t="shared" si="7"/>
        <v>5.481974442359796</v>
      </c>
      <c r="K67" s="140">
        <f t="shared" si="8"/>
        <v>4.4289375</v>
      </c>
      <c r="L67" s="141">
        <f t="shared" si="9"/>
        <v>106.02876375000001</v>
      </c>
      <c r="M67" s="139">
        <f t="shared" si="10"/>
        <v>5.481974442359796</v>
      </c>
      <c r="N67" s="140">
        <f t="shared" si="11"/>
        <v>4.4289375</v>
      </c>
      <c r="O67" s="141">
        <f t="shared" si="12"/>
        <v>172.99429875000001</v>
      </c>
      <c r="P67" s="139">
        <f t="shared" si="13"/>
        <v>5.481974442359796</v>
      </c>
      <c r="Q67" s="140">
        <f t="shared" si="14"/>
        <v>4.4289375</v>
      </c>
      <c r="R67" s="141">
        <f t="shared" si="15"/>
        <v>217.63798875000001</v>
      </c>
      <c r="S67" s="139">
        <f t="shared" si="16"/>
        <v>5.481974442359796</v>
      </c>
      <c r="T67" s="140">
        <f t="shared" si="17"/>
        <v>4.4289375</v>
      </c>
      <c r="U67" s="141">
        <f t="shared" si="18"/>
        <v>0</v>
      </c>
      <c r="V67" s="145">
        <f t="shared" si="19"/>
        <v>50</v>
      </c>
      <c r="W67" s="146" t="str">
        <f t="shared" si="20"/>
        <v/>
      </c>
      <c r="X67" s="146">
        <f t="shared" si="21"/>
        <v>20</v>
      </c>
      <c r="Y67" s="146" t="str">
        <f t="shared" si="22"/>
        <v/>
      </c>
      <c r="Z67" s="147" t="str">
        <f t="shared" si="23"/>
        <v/>
      </c>
    </row>
  </sheetData>
  <mergeCells count="9">
    <mergeCell ref="C17:D17"/>
    <mergeCell ref="C18:D18"/>
    <mergeCell ref="G25:I25"/>
    <mergeCell ref="J25:L25"/>
    <mergeCell ref="V25:Z25"/>
    <mergeCell ref="F3:G3"/>
    <mergeCell ref="M25:O25"/>
    <mergeCell ref="P25:R25"/>
    <mergeCell ref="S25:U25"/>
  </mergeCells>
  <conditionalFormatting sqref="G4">
    <cfRule type="cellIs" dxfId="5" priority="10" stopIfTrue="1" operator="notEqual">
      <formula>TRUE</formula>
    </cfRule>
  </conditionalFormatting>
  <conditionalFormatting sqref="G5">
    <cfRule type="cellIs" dxfId="4" priority="9" stopIfTrue="1" operator="notEqual">
      <formula>TRUE</formula>
    </cfRule>
  </conditionalFormatting>
  <conditionalFormatting sqref="G6">
    <cfRule type="cellIs" dxfId="3" priority="8" stopIfTrue="1" operator="notEqual">
      <formula>TRUE</formula>
    </cfRule>
  </conditionalFormatting>
  <conditionalFormatting sqref="G7">
    <cfRule type="cellIs" dxfId="2" priority="7" stopIfTrue="1" operator="notEqual">
      <formula>TRUE</formula>
    </cfRule>
  </conditionalFormatting>
  <conditionalFormatting sqref="G11:G15">
    <cfRule type="cellIs" dxfId="1" priority="6" stopIfTrue="1" operator="notEqual">
      <formula>TRUE</formula>
    </cfRule>
  </conditionalFormatting>
  <conditionalFormatting sqref="G17">
    <cfRule type="cellIs" dxfId="0" priority="1" stopIfTrue="1" operator="notEqual">
      <formula>TRUE</formula>
    </cfRule>
  </conditionalFormatting>
  <dataValidations count="2">
    <dataValidation type="list" allowBlank="1" showInputMessage="1" showErrorMessage="1" sqref="C7" xr:uid="{A574CD71-3249-40D2-B6F1-84F5F8D16C96}">
      <formula1>$C$26:$D$26</formula1>
    </dataValidation>
    <dataValidation type="list" allowBlank="1" showInputMessage="1" showErrorMessage="1" sqref="C6 D11:D15" xr:uid="{0A0E350A-B58F-48DF-89E4-764CD34C332A}">
      <formula1>"Yes,No"</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BF28BCE0-ABE8-442F-93BA-0C2090661985}">
          <x14:formula1>
            <xm:f>Inputs!$B$9:$B$10</xm:f>
          </x14:formula1>
          <xm:sqref>C17:D17</xm:sqref>
        </x14:dataValidation>
        <x14:dataValidation type="list" allowBlank="1" showInputMessage="1" showErrorMessage="1" xr:uid="{23B2632E-7621-4B86-A57A-2589662790A8}">
          <x14:formula1>
            <xm:f>Inputs!$B$99:$B$106</xm:f>
          </x14:formula1>
          <xm:sqref>F3:G3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D46EA-79B1-4B7D-AAEE-A25470165649}">
  <dimension ref="A1:X40"/>
  <sheetViews>
    <sheetView workbookViewId="0">
      <selection activeCell="D20" sqref="D20"/>
    </sheetView>
  </sheetViews>
  <sheetFormatPr baseColWidth="10" defaultColWidth="8.83203125" defaultRowHeight="16" x14ac:dyDescent="0.2"/>
  <cols>
    <col min="1" max="16384" width="8.83203125" style="11"/>
  </cols>
  <sheetData>
    <row r="1" spans="1:24" x14ac:dyDescent="0.2">
      <c r="A1" s="11" t="s">
        <v>193</v>
      </c>
    </row>
    <row r="2" spans="1:24" x14ac:dyDescent="0.2">
      <c r="B2" s="25" t="s">
        <v>192</v>
      </c>
      <c r="K2" s="21" t="s">
        <v>191</v>
      </c>
    </row>
    <row r="3" spans="1:24" x14ac:dyDescent="0.2">
      <c r="B3" s="70" t="s">
        <v>228</v>
      </c>
      <c r="K3" s="70" t="s">
        <v>229</v>
      </c>
    </row>
    <row r="5" spans="1:24" ht="17" thickBot="1" x14ac:dyDescent="0.25">
      <c r="U5" s="51" t="s">
        <v>190</v>
      </c>
    </row>
    <row r="6" spans="1:24" ht="27" thickBot="1" x14ac:dyDescent="0.25">
      <c r="U6" s="50" t="s">
        <v>175</v>
      </c>
      <c r="V6" s="49" t="s">
        <v>174</v>
      </c>
      <c r="W6" s="49" t="s">
        <v>173</v>
      </c>
      <c r="X6" s="49" t="s">
        <v>172</v>
      </c>
    </row>
    <row r="7" spans="1:24" ht="18" thickTop="1" thickBot="1" x14ac:dyDescent="0.25">
      <c r="U7" s="64">
        <v>0</v>
      </c>
      <c r="V7" s="183" t="s">
        <v>171</v>
      </c>
      <c r="W7" s="184"/>
      <c r="X7" s="185"/>
    </row>
    <row r="8" spans="1:24" ht="17" thickBot="1" x14ac:dyDescent="0.25">
      <c r="A8" s="42" t="s">
        <v>189</v>
      </c>
      <c r="D8" s="31"/>
      <c r="E8" s="31"/>
      <c r="U8" s="56">
        <v>1</v>
      </c>
      <c r="V8" s="55" t="s">
        <v>121</v>
      </c>
      <c r="W8" s="55">
        <v>78</v>
      </c>
      <c r="X8" s="55">
        <v>0.15229999999999999</v>
      </c>
    </row>
    <row r="9" spans="1:24" ht="18" thickBot="1" x14ac:dyDescent="0.25">
      <c r="A9" s="52" t="s">
        <v>188</v>
      </c>
      <c r="C9" s="31"/>
      <c r="D9" s="31"/>
      <c r="E9" s="31"/>
      <c r="U9" s="56">
        <v>2</v>
      </c>
      <c r="V9" s="55" t="s">
        <v>121</v>
      </c>
      <c r="W9" s="55">
        <v>193</v>
      </c>
      <c r="X9" s="55">
        <v>0.377</v>
      </c>
    </row>
    <row r="10" spans="1:24" ht="17" thickBot="1" x14ac:dyDescent="0.25">
      <c r="A10" s="63" t="s">
        <v>187</v>
      </c>
      <c r="B10" s="62" t="s">
        <v>186</v>
      </c>
      <c r="C10" s="61"/>
      <c r="D10" s="31"/>
      <c r="E10" s="25"/>
      <c r="U10" s="56">
        <v>3</v>
      </c>
      <c r="V10" s="55" t="s">
        <v>121</v>
      </c>
      <c r="W10" s="55">
        <v>449</v>
      </c>
      <c r="X10" s="55">
        <v>0.877</v>
      </c>
    </row>
    <row r="11" spans="1:24" ht="18" thickBot="1" x14ac:dyDescent="0.25">
      <c r="A11" s="59" t="s">
        <v>185</v>
      </c>
      <c r="C11" s="25"/>
      <c r="D11" s="31"/>
      <c r="E11" s="60"/>
      <c r="U11" s="56">
        <v>4</v>
      </c>
      <c r="V11" s="55" t="s">
        <v>120</v>
      </c>
      <c r="W11" s="55">
        <v>378</v>
      </c>
      <c r="X11" s="55">
        <v>1.4765999999999999</v>
      </c>
    </row>
    <row r="12" spans="1:24" ht="18" thickBot="1" x14ac:dyDescent="0.25">
      <c r="A12" s="59" t="s">
        <v>184</v>
      </c>
      <c r="C12" s="23"/>
      <c r="D12" s="31"/>
      <c r="E12" s="41"/>
      <c r="U12" s="56">
        <v>5</v>
      </c>
      <c r="V12" s="55" t="s">
        <v>120</v>
      </c>
      <c r="W12" s="55">
        <v>490</v>
      </c>
      <c r="X12" s="55">
        <v>1.9140999999999999</v>
      </c>
    </row>
    <row r="13" spans="1:24" ht="18" thickBot="1" x14ac:dyDescent="0.25">
      <c r="A13" s="59" t="s">
        <v>183</v>
      </c>
      <c r="C13" s="23"/>
      <c r="D13" s="31"/>
      <c r="E13" s="41"/>
      <c r="U13" s="58">
        <v>6</v>
      </c>
      <c r="V13" s="57" t="s">
        <v>120</v>
      </c>
      <c r="W13" s="57">
        <v>616</v>
      </c>
      <c r="X13" s="57">
        <v>2.4062999999999999</v>
      </c>
    </row>
    <row r="14" spans="1:24" ht="18" thickTop="1" thickBot="1" x14ac:dyDescent="0.25">
      <c r="A14" s="31"/>
      <c r="B14" s="31"/>
      <c r="C14" s="23"/>
      <c r="D14" s="31"/>
      <c r="E14" s="41"/>
      <c r="U14" s="56">
        <v>7</v>
      </c>
      <c r="V14" s="55" t="s">
        <v>119</v>
      </c>
      <c r="W14" s="55">
        <v>466</v>
      </c>
      <c r="X14" s="55">
        <v>2.7305000000000001</v>
      </c>
    </row>
    <row r="15" spans="1:24" ht="17" thickBot="1" x14ac:dyDescent="0.25">
      <c r="U15" s="56">
        <v>8</v>
      </c>
      <c r="V15" s="55" t="s">
        <v>119</v>
      </c>
      <c r="W15" s="55">
        <v>567</v>
      </c>
      <c r="X15" s="55">
        <v>3.3222999999999998</v>
      </c>
    </row>
    <row r="16" spans="1:24" ht="17" thickBot="1" x14ac:dyDescent="0.25">
      <c r="B16" s="11" t="s">
        <v>182</v>
      </c>
      <c r="U16" s="58">
        <v>9</v>
      </c>
      <c r="V16" s="57" t="s">
        <v>119</v>
      </c>
      <c r="W16" s="57">
        <v>666</v>
      </c>
      <c r="X16" s="57">
        <v>3.9022999999999999</v>
      </c>
    </row>
    <row r="17" spans="2:24" ht="18" thickTop="1" thickBot="1" x14ac:dyDescent="0.25">
      <c r="B17" s="52" t="s">
        <v>181</v>
      </c>
      <c r="C17" s="52"/>
      <c r="D17" s="52"/>
      <c r="E17" s="52"/>
      <c r="F17" s="52"/>
      <c r="G17" s="52"/>
      <c r="U17" s="56">
        <v>10</v>
      </c>
      <c r="V17" s="55" t="s">
        <v>119</v>
      </c>
      <c r="W17" s="55">
        <v>772</v>
      </c>
      <c r="X17" s="55">
        <v>4.5233999999999996</v>
      </c>
    </row>
    <row r="18" spans="2:24" ht="17" thickBot="1" x14ac:dyDescent="0.25">
      <c r="B18" s="52" t="s">
        <v>180</v>
      </c>
      <c r="C18" s="52"/>
      <c r="D18" s="52"/>
      <c r="E18" s="52"/>
      <c r="F18" s="52"/>
      <c r="G18" s="52"/>
      <c r="U18" s="56">
        <v>11</v>
      </c>
      <c r="V18" s="55" t="s">
        <v>119</v>
      </c>
      <c r="W18" s="55">
        <v>873</v>
      </c>
      <c r="X18" s="55">
        <v>5.1151999999999997</v>
      </c>
    </row>
    <row r="19" spans="2:24" ht="17" thickBot="1" x14ac:dyDescent="0.25">
      <c r="B19" s="52" t="s">
        <v>179</v>
      </c>
      <c r="C19" s="52"/>
      <c r="D19" s="52"/>
      <c r="E19" s="52"/>
      <c r="F19" s="52"/>
      <c r="G19" s="52"/>
      <c r="U19" s="56">
        <v>12</v>
      </c>
      <c r="V19" s="55" t="s">
        <v>118</v>
      </c>
      <c r="W19" s="55">
        <v>711</v>
      </c>
      <c r="X19" s="55">
        <v>5.5547000000000004</v>
      </c>
    </row>
    <row r="20" spans="2:24" ht="17" thickBot="1" x14ac:dyDescent="0.25">
      <c r="B20" s="52" t="s">
        <v>178</v>
      </c>
      <c r="C20" s="52"/>
      <c r="D20" s="52"/>
      <c r="E20" s="52"/>
      <c r="F20" s="52"/>
      <c r="G20" s="52"/>
      <c r="U20" s="56">
        <v>13</v>
      </c>
      <c r="V20" s="55" t="s">
        <v>118</v>
      </c>
      <c r="W20" s="55">
        <v>797</v>
      </c>
      <c r="X20" s="55">
        <v>6.2266000000000004</v>
      </c>
    </row>
    <row r="21" spans="2:24" ht="17" thickBot="1" x14ac:dyDescent="0.25">
      <c r="B21" s="52" t="s">
        <v>177</v>
      </c>
      <c r="C21" s="52"/>
      <c r="D21" s="52"/>
      <c r="E21" s="52"/>
      <c r="F21" s="52"/>
      <c r="G21" s="52"/>
      <c r="U21" s="56">
        <v>14</v>
      </c>
      <c r="V21" s="55" t="s">
        <v>118</v>
      </c>
      <c r="W21" s="55">
        <v>885</v>
      </c>
      <c r="X21" s="55">
        <v>6.9141000000000004</v>
      </c>
    </row>
    <row r="22" spans="2:24" ht="17" thickBot="1" x14ac:dyDescent="0.25">
      <c r="B22" s="52" t="s">
        <v>227</v>
      </c>
      <c r="C22" s="52"/>
      <c r="D22" s="52"/>
      <c r="E22" s="52"/>
      <c r="F22" s="52"/>
      <c r="G22" s="52"/>
      <c r="U22" s="54">
        <v>15</v>
      </c>
      <c r="V22" s="53" t="s">
        <v>118</v>
      </c>
      <c r="W22" s="53">
        <v>948</v>
      </c>
      <c r="X22" s="53">
        <v>7.4062999999999999</v>
      </c>
    </row>
    <row r="23" spans="2:24" ht="17" thickBot="1" x14ac:dyDescent="0.25">
      <c r="B23" s="52"/>
      <c r="C23" s="52"/>
      <c r="D23" s="52"/>
      <c r="E23" s="52"/>
      <c r="F23" s="52"/>
      <c r="G23" s="52"/>
      <c r="U23" s="51" t="s">
        <v>176</v>
      </c>
    </row>
    <row r="24" spans="2:24" ht="27" thickBot="1" x14ac:dyDescent="0.25">
      <c r="U24" s="50" t="s">
        <v>175</v>
      </c>
      <c r="V24" s="49" t="s">
        <v>174</v>
      </c>
      <c r="W24" s="49" t="s">
        <v>173</v>
      </c>
      <c r="X24" s="49" t="s">
        <v>172</v>
      </c>
    </row>
    <row r="25" spans="2:24" ht="18" thickTop="1" thickBot="1" x14ac:dyDescent="0.25">
      <c r="U25" s="46">
        <v>0</v>
      </c>
      <c r="V25" s="186" t="s">
        <v>171</v>
      </c>
      <c r="W25" s="187"/>
      <c r="X25" s="188"/>
    </row>
    <row r="26" spans="2:24" ht="17" thickBot="1" x14ac:dyDescent="0.25">
      <c r="U26" s="46">
        <v>1</v>
      </c>
      <c r="V26" s="45" t="s">
        <v>121</v>
      </c>
      <c r="W26" s="45">
        <v>78</v>
      </c>
      <c r="X26" s="45">
        <v>0.15229999999999999</v>
      </c>
    </row>
    <row r="27" spans="2:24" ht="17" thickBot="1" x14ac:dyDescent="0.25">
      <c r="U27" s="46">
        <v>2</v>
      </c>
      <c r="V27" s="45" t="s">
        <v>121</v>
      </c>
      <c r="W27" s="45">
        <v>120</v>
      </c>
      <c r="X27" s="45">
        <v>0.2344</v>
      </c>
    </row>
    <row r="28" spans="2:24" ht="17" thickBot="1" x14ac:dyDescent="0.25">
      <c r="U28" s="46">
        <v>3</v>
      </c>
      <c r="V28" s="45" t="s">
        <v>121</v>
      </c>
      <c r="W28" s="45">
        <v>193</v>
      </c>
      <c r="X28" s="45">
        <v>0.377</v>
      </c>
    </row>
    <row r="29" spans="2:24" ht="17" thickBot="1" x14ac:dyDescent="0.25">
      <c r="U29" s="46">
        <v>4</v>
      </c>
      <c r="V29" s="45" t="s">
        <v>121</v>
      </c>
      <c r="W29" s="45">
        <v>308</v>
      </c>
      <c r="X29" s="45">
        <v>0.60160000000000002</v>
      </c>
    </row>
    <row r="30" spans="2:24" ht="17" thickBot="1" x14ac:dyDescent="0.25">
      <c r="U30" s="46">
        <v>5</v>
      </c>
      <c r="V30" s="45" t="s">
        <v>121</v>
      </c>
      <c r="W30" s="45">
        <v>449</v>
      </c>
      <c r="X30" s="45">
        <v>0.877</v>
      </c>
    </row>
    <row r="31" spans="2:24" ht="17" thickBot="1" x14ac:dyDescent="0.25">
      <c r="U31" s="48">
        <v>6</v>
      </c>
      <c r="V31" s="47" t="s">
        <v>121</v>
      </c>
      <c r="W31" s="47">
        <v>602</v>
      </c>
      <c r="X31" s="47">
        <v>1.1758</v>
      </c>
    </row>
    <row r="32" spans="2:24" ht="18" thickTop="1" thickBot="1" x14ac:dyDescent="0.25">
      <c r="U32" s="46">
        <v>7</v>
      </c>
      <c r="V32" s="45" t="s">
        <v>120</v>
      </c>
      <c r="W32" s="45">
        <v>378</v>
      </c>
      <c r="X32" s="45">
        <v>1.4765999999999999</v>
      </c>
    </row>
    <row r="33" spans="12:24" ht="17" thickBot="1" x14ac:dyDescent="0.25">
      <c r="U33" s="46">
        <v>8</v>
      </c>
      <c r="V33" s="45" t="s">
        <v>120</v>
      </c>
      <c r="W33" s="45">
        <v>490</v>
      </c>
      <c r="X33" s="45">
        <v>1.9140999999999999</v>
      </c>
    </row>
    <row r="34" spans="12:24" ht="17" thickBot="1" x14ac:dyDescent="0.25">
      <c r="U34" s="48">
        <v>9</v>
      </c>
      <c r="V34" s="47" t="s">
        <v>120</v>
      </c>
      <c r="W34" s="47">
        <v>616</v>
      </c>
      <c r="X34" s="47">
        <v>2.4062999999999999</v>
      </c>
    </row>
    <row r="35" spans="12:24" ht="18" thickTop="1" thickBot="1" x14ac:dyDescent="0.25">
      <c r="L35" s="70" t="s">
        <v>170</v>
      </c>
      <c r="U35" s="46">
        <v>10</v>
      </c>
      <c r="V35" s="45" t="s">
        <v>119</v>
      </c>
      <c r="W35" s="45">
        <v>466</v>
      </c>
      <c r="X35" s="45">
        <v>2.7305000000000001</v>
      </c>
    </row>
    <row r="36" spans="12:24" ht="17" thickBot="1" x14ac:dyDescent="0.25">
      <c r="U36" s="46">
        <v>11</v>
      </c>
      <c r="V36" s="45" t="s">
        <v>119</v>
      </c>
      <c r="W36" s="45">
        <v>567</v>
      </c>
      <c r="X36" s="45">
        <v>3.3222999999999998</v>
      </c>
    </row>
    <row r="37" spans="12:24" ht="17" thickBot="1" x14ac:dyDescent="0.25">
      <c r="U37" s="46">
        <v>12</v>
      </c>
      <c r="V37" s="45" t="s">
        <v>119</v>
      </c>
      <c r="W37" s="45">
        <v>666</v>
      </c>
      <c r="X37" s="45">
        <v>3.9022999999999999</v>
      </c>
    </row>
    <row r="38" spans="12:24" ht="17" thickBot="1" x14ac:dyDescent="0.25">
      <c r="U38" s="46">
        <v>13</v>
      </c>
      <c r="V38" s="45" t="s">
        <v>119</v>
      </c>
      <c r="W38" s="45">
        <v>772</v>
      </c>
      <c r="X38" s="45">
        <v>4.5233999999999996</v>
      </c>
    </row>
    <row r="39" spans="12:24" ht="17" thickBot="1" x14ac:dyDescent="0.25">
      <c r="U39" s="46">
        <v>14</v>
      </c>
      <c r="V39" s="45" t="s">
        <v>119</v>
      </c>
      <c r="W39" s="45">
        <v>873</v>
      </c>
      <c r="X39" s="45">
        <v>5.1151999999999997</v>
      </c>
    </row>
    <row r="40" spans="12:24" ht="17" thickBot="1" x14ac:dyDescent="0.25">
      <c r="U40" s="44">
        <v>15</v>
      </c>
      <c r="V40" s="43" t="s">
        <v>119</v>
      </c>
      <c r="W40" s="43">
        <v>948</v>
      </c>
      <c r="X40" s="43">
        <v>5.5547000000000004</v>
      </c>
    </row>
  </sheetData>
  <mergeCells count="2">
    <mergeCell ref="V7:X7"/>
    <mergeCell ref="V25:X25"/>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Equation.3" shapeId="12289" r:id="rId4">
          <objectPr defaultSize="0" autoPict="0" r:id="rId5">
            <anchor moveWithCells="1" sizeWithCells="1">
              <from>
                <xdr:col>0</xdr:col>
                <xdr:colOff>101600</xdr:colOff>
                <xdr:row>3</xdr:row>
                <xdr:rowOff>177800</xdr:rowOff>
              </from>
              <to>
                <xdr:col>9</xdr:col>
                <xdr:colOff>254000</xdr:colOff>
                <xdr:row>7</xdr:row>
                <xdr:rowOff>0</xdr:rowOff>
              </to>
            </anchor>
          </objectPr>
        </oleObject>
      </mc:Choice>
      <mc:Fallback>
        <oleObject progId="Equation.3" shapeId="12289" r:id="rId4"/>
      </mc:Fallback>
    </mc:AlternateContent>
  </oleObjec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43</vt:i4>
      </vt:variant>
    </vt:vector>
  </HeadingPairs>
  <TitlesOfParts>
    <vt:vector size="48" baseType="lpstr">
      <vt:lpstr>Contents</vt:lpstr>
      <vt:lpstr>Inputs</vt:lpstr>
      <vt:lpstr>DL linkLevel</vt:lpstr>
      <vt:lpstr>UL linkLevel</vt:lpstr>
      <vt:lpstr>Sources</vt:lpstr>
      <vt:lpstr>BS_type</vt:lpstr>
      <vt:lpstr>CA_Loss</vt:lpstr>
      <vt:lpstr>DL_alpha</vt:lpstr>
      <vt:lpstr>DL_EIRP</vt:lpstr>
      <vt:lpstr>DL_f</vt:lpstr>
      <vt:lpstr>DL_NF</vt:lpstr>
      <vt:lpstr>DL_noise</vt:lpstr>
      <vt:lpstr>DL_NormBW</vt:lpstr>
      <vt:lpstr>DL_NormLayers</vt:lpstr>
      <vt:lpstr>DL_NormNoise</vt:lpstr>
      <vt:lpstr>DL_NormPow</vt:lpstr>
      <vt:lpstr>DL_OH</vt:lpstr>
      <vt:lpstr>DL_Plot</vt:lpstr>
      <vt:lpstr>DL_Qm</vt:lpstr>
      <vt:lpstr>DL_ratio</vt:lpstr>
      <vt:lpstr>DL_Rmax</vt:lpstr>
      <vt:lpstr>DL_Rxgain</vt:lpstr>
      <vt:lpstr>DL_scale</vt:lpstr>
      <vt:lpstr>DL_scenario_offset</vt:lpstr>
      <vt:lpstr>scenario_offset</vt:lpstr>
      <vt:lpstr>Subcarriers</vt:lpstr>
      <vt:lpstr>Symbols</vt:lpstr>
      <vt:lpstr>thermal_noise</vt:lpstr>
      <vt:lpstr>UL_alpha</vt:lpstr>
      <vt:lpstr>UL_EIRP</vt:lpstr>
      <vt:lpstr>UL_f</vt:lpstr>
      <vt:lpstr>UL_NF</vt:lpstr>
      <vt:lpstr>UL_noise</vt:lpstr>
      <vt:lpstr>UL_NormBW</vt:lpstr>
      <vt:lpstr>UL_NormLayers</vt:lpstr>
      <vt:lpstr>UL_NormNoise</vt:lpstr>
      <vt:lpstr>UL_NormPow</vt:lpstr>
      <vt:lpstr>UL_OH</vt:lpstr>
      <vt:lpstr>UL_Plot</vt:lpstr>
      <vt:lpstr>UL_Qm</vt:lpstr>
      <vt:lpstr>UL_ratio</vt:lpstr>
      <vt:lpstr>UL_Rmax</vt:lpstr>
      <vt:lpstr>UL_Rxgain</vt:lpstr>
      <vt:lpstr>UL_scale</vt:lpstr>
      <vt:lpstr>UL_scenario_offset</vt:lpstr>
      <vt:lpstr>Workbook.Objective</vt:lpstr>
      <vt:lpstr>Workbook.Status</vt:lpstr>
      <vt:lpstr>Workbook.Title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Single User Throughput in 5G NR</dc:title>
  <dc:creator/>
  <cp:lastModifiedBy/>
  <dcterms:created xsi:type="dcterms:W3CDTF">2020-05-14T12:04:44Z</dcterms:created>
  <dcterms:modified xsi:type="dcterms:W3CDTF">2022-12-22T19:32:31Z</dcterms:modified>
</cp:coreProperties>
</file>